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ialho\Desktop\"/>
    </mc:Choice>
  </mc:AlternateContent>
  <xr:revisionPtr revIDLastSave="0" documentId="13_ncr:1_{E8E3D378-1E3E-4064-BB86-11147768CCBA}" xr6:coauthVersionLast="47" xr6:coauthVersionMax="47" xr10:uidLastSave="{00000000-0000-0000-0000-000000000000}"/>
  <bookViews>
    <workbookView xWindow="-120" yWindow="-120" windowWidth="20730" windowHeight="11160" tabRatio="601" activeTab="4" xr2:uid="{00000000-000D-0000-FFFF-FFFF00000000}"/>
  </bookViews>
  <sheets>
    <sheet name="Nightly" sheetId="284" r:id="rId1"/>
    <sheet name="Morning" sheetId="281" r:id="rId2"/>
    <sheet name="Outstanding" sheetId="324" r:id="rId3"/>
    <sheet name="Old85s" sheetId="325" r:id="rId4"/>
    <sheet name="Trends" sheetId="326" r:id="rId5"/>
    <sheet name="ContractorData" sheetId="323" r:id="rId6"/>
  </sheets>
  <functionGroups builtInGroupCount="19"/>
  <definedNames>
    <definedName name="_xlnm._FilterDatabase" localSheetId="5" hidden="1">ContractorData!$A$1:$E$1893</definedName>
    <definedName name="_xlnm._FilterDatabase" localSheetId="1" hidden="1">Morning!$A$6:$P$6</definedName>
    <definedName name="_xlnm._FilterDatabase" localSheetId="0" hidden="1">Nightly!$A$7:$C$7</definedName>
    <definedName name="_xlnm._FilterDatabase" localSheetId="2" hidden="1">Outstanding!$A$6:$K$6</definedName>
    <definedName name="ADHeads" localSheetId="2">Outstanding[[#Headers],[RECIPIENT ]:[ADDRESS]]</definedName>
    <definedName name="ADHeads">Morning!$E$6:$F$6</definedName>
    <definedName name="Contractors">Trends!$B$2:$B$11</definedName>
    <definedName name="CTHeads" localSheetId="2">Outstanding[[#Headers],[WA'#]:[CONTRACTOR]]</definedName>
    <definedName name="CTHeads">Morning!$A$6:$C$6</definedName>
    <definedName name="RetentionDays">ContractorData!$F$1</definedName>
    <definedName name="RPNHead">Morning!$P$6</definedName>
    <definedName name="RSHeads" localSheetId="2">Outstanding!$A$6:$F$6,Outstanding!$I$6:$J$6,Outstanding!#REF!</definedName>
    <definedName name="RSHeads">Morning!$A$6:$F$6,Morning!$I$6:$J$6,Morning!$L$6:$P$6</definedName>
    <definedName name="RSTrkHead" localSheetId="2">Outstanding!$G$6</definedName>
    <definedName name="RSTrkHead">Morning!$G$6</definedName>
    <definedName name="VSHeads" localSheetId="2">Outstanding[[#Headers],[VANSCAN DATE]:[VAN '#]]</definedName>
    <definedName name="VSHeads">Morning!$I$6:$J$6</definedName>
  </definedNames>
  <calcPr calcId="191028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325" l="1"/>
  <c r="Q5" i="325"/>
  <c r="Q6" i="325"/>
  <c r="Q7" i="325"/>
  <c r="Q8" i="325"/>
  <c r="Q9" i="325"/>
  <c r="Q10" i="325"/>
  <c r="Q11" i="325"/>
  <c r="Q12" i="325"/>
  <c r="Q13" i="325"/>
  <c r="Q14" i="325"/>
  <c r="Q15" i="325"/>
  <c r="Q16" i="325"/>
  <c r="Q17" i="325"/>
  <c r="Q18" i="325"/>
  <c r="Q19" i="325"/>
  <c r="Q20" i="325"/>
  <c r="Q21" i="325"/>
  <c r="Q22" i="325"/>
  <c r="Q23" i="325"/>
  <c r="Q24" i="325"/>
  <c r="Q25" i="325"/>
  <c r="Q26" i="325"/>
  <c r="Q27" i="325"/>
  <c r="Q28" i="325"/>
  <c r="Q29" i="325"/>
  <c r="Q30" i="325"/>
  <c r="Q31" i="325"/>
  <c r="Q32" i="325"/>
  <c r="Q33" i="325"/>
  <c r="Q34" i="325"/>
  <c r="Q35" i="325"/>
  <c r="Q36" i="325"/>
  <c r="Q37" i="325"/>
  <c r="Q38" i="325"/>
  <c r="Q39" i="325"/>
  <c r="Q40" i="325"/>
  <c r="Q41" i="325"/>
  <c r="Q42" i="325"/>
  <c r="Q43" i="325"/>
  <c r="Q44" i="325"/>
  <c r="Q45" i="325"/>
  <c r="Q46" i="325"/>
  <c r="Q47" i="325"/>
  <c r="Q48" i="325"/>
  <c r="Q49" i="325"/>
  <c r="Q50" i="325"/>
  <c r="Q51" i="325"/>
  <c r="Q52" i="325"/>
  <c r="Q53" i="325"/>
  <c r="Q54" i="325"/>
  <c r="Q55" i="325"/>
  <c r="Q56" i="325"/>
  <c r="Q57" i="325"/>
  <c r="Q58" i="325"/>
  <c r="Q59" i="325"/>
  <c r="Q60" i="325"/>
  <c r="Q61" i="325"/>
  <c r="Q62" i="325"/>
  <c r="Q63" i="325"/>
  <c r="Q64" i="325"/>
  <c r="Q65" i="325"/>
  <c r="Q66" i="325"/>
  <c r="Q67" i="325"/>
  <c r="Q68" i="325"/>
  <c r="Q69" i="325"/>
  <c r="Q70" i="325"/>
  <c r="Q71" i="325"/>
  <c r="Q72" i="325"/>
  <c r="Q73" i="325"/>
  <c r="Q74" i="325"/>
  <c r="Q75" i="325"/>
  <c r="Q76" i="325"/>
  <c r="Q77" i="325"/>
  <c r="Q78" i="325"/>
  <c r="Q79" i="325"/>
  <c r="Q80" i="325"/>
  <c r="Q81" i="325"/>
  <c r="Q82" i="325"/>
  <c r="Q83" i="325"/>
  <c r="Q84" i="325"/>
  <c r="Q85" i="325"/>
  <c r="Q86" i="325"/>
  <c r="Q87" i="325"/>
  <c r="Q88" i="325"/>
  <c r="Q89" i="325"/>
  <c r="Q90" i="325"/>
  <c r="Q91" i="325"/>
  <c r="Q92" i="325"/>
  <c r="Q93" i="325"/>
  <c r="Q94" i="325"/>
  <c r="Q95" i="325"/>
  <c r="Q96" i="325"/>
  <c r="Q97" i="325"/>
  <c r="Q98" i="325"/>
  <c r="Q99" i="325"/>
  <c r="Q100" i="325"/>
  <c r="Q101" i="325"/>
  <c r="Q102" i="325"/>
  <c r="Q103" i="325"/>
  <c r="Q104" i="325"/>
  <c r="Q105" i="325"/>
  <c r="Q106" i="325"/>
  <c r="Q107" i="325"/>
  <c r="Q108" i="325"/>
  <c r="Q109" i="325"/>
  <c r="Q110" i="325"/>
  <c r="Q111" i="325"/>
  <c r="Q112" i="325"/>
  <c r="Q113" i="325"/>
  <c r="Q114" i="325"/>
  <c r="Q115" i="325"/>
  <c r="Q116" i="325"/>
  <c r="Q117" i="325"/>
  <c r="Q118" i="325"/>
  <c r="Q119" i="325"/>
  <c r="Q120" i="325"/>
  <c r="Q121" i="325"/>
  <c r="Q122" i="325"/>
  <c r="Q123" i="325"/>
  <c r="Q124" i="325"/>
  <c r="Q125" i="325"/>
  <c r="Q126" i="325"/>
  <c r="Q127" i="325"/>
  <c r="Q128" i="325"/>
  <c r="Q129" i="325"/>
  <c r="Q130" i="325"/>
  <c r="Q131" i="325"/>
  <c r="Q132" i="325"/>
  <c r="Q133" i="325"/>
  <c r="Q134" i="325"/>
  <c r="Q135" i="325"/>
  <c r="Q136" i="325"/>
  <c r="Q137" i="325"/>
  <c r="Q138" i="325"/>
  <c r="Q139" i="325"/>
  <c r="Q140" i="325"/>
  <c r="Q141" i="325"/>
  <c r="Q142" i="325"/>
  <c r="Q143" i="325"/>
  <c r="Q3" i="325"/>
  <c r="J143" i="325"/>
  <c r="J142" i="325"/>
  <c r="J141" i="325" l="1"/>
  <c r="J140" i="325" l="1"/>
  <c r="J139" i="325"/>
  <c r="J138" i="325"/>
  <c r="J137" i="325"/>
  <c r="J136" i="325"/>
  <c r="J135" i="325"/>
  <c r="J134" i="325"/>
  <c r="J133" i="325"/>
  <c r="J132" i="325"/>
  <c r="J131" i="325"/>
  <c r="J130" i="325"/>
  <c r="J129" i="325" l="1"/>
  <c r="J128" i="325" l="1"/>
  <c r="J127" i="325"/>
  <c r="J126" i="325"/>
  <c r="J125" i="325"/>
  <c r="J124" i="325"/>
  <c r="J123" i="325"/>
  <c r="J122" i="325"/>
  <c r="J121" i="325" l="1"/>
  <c r="J120" i="325"/>
  <c r="J119" i="325"/>
  <c r="J118" i="325"/>
  <c r="J117" i="325"/>
  <c r="J116" i="325"/>
  <c r="J115" i="325"/>
  <c r="J114" i="325"/>
  <c r="J113" i="325"/>
  <c r="J112" i="325"/>
  <c r="J111" i="325"/>
  <c r="J110" i="325"/>
  <c r="J109" i="325"/>
  <c r="J108" i="325"/>
  <c r="J107" i="325"/>
  <c r="J106" i="325"/>
  <c r="J105" i="325"/>
  <c r="J104" i="325"/>
  <c r="J103" i="325"/>
  <c r="J102" i="325"/>
  <c r="J101" i="325"/>
  <c r="J100" i="325" l="1"/>
  <c r="J99" i="325" l="1"/>
  <c r="J98" i="325"/>
  <c r="J97" i="325"/>
  <c r="J96" i="325"/>
  <c r="J95" i="325"/>
  <c r="J94" i="325"/>
  <c r="J93" i="325"/>
  <c r="J92" i="325"/>
  <c r="J91" i="325"/>
  <c r="J90" i="325"/>
  <c r="J89" i="325"/>
  <c r="J88" i="325"/>
  <c r="J87" i="325"/>
  <c r="J86" i="325"/>
  <c r="J85" i="325"/>
  <c r="J84" i="325"/>
  <c r="J83" i="325"/>
  <c r="J82" i="325"/>
  <c r="J81" i="325"/>
  <c r="J80" i="325"/>
  <c r="J79" i="325"/>
  <c r="J78" i="325" l="1"/>
  <c r="J77" i="325"/>
  <c r="J76" i="325"/>
  <c r="J75" i="325"/>
  <c r="J74" i="325"/>
  <c r="J73" i="325"/>
  <c r="J72" i="325"/>
  <c r="J71" i="325"/>
  <c r="J70" i="325"/>
  <c r="J69" i="325"/>
  <c r="J68" i="325"/>
  <c r="J67" i="325"/>
  <c r="J66" i="325"/>
  <c r="J65" i="325"/>
  <c r="J64" i="325"/>
  <c r="J63" i="325"/>
  <c r="J62" i="325" l="1"/>
  <c r="J61" i="325"/>
  <c r="J60" i="325"/>
  <c r="J59" i="325"/>
  <c r="J58" i="325"/>
  <c r="J57" i="325"/>
  <c r="J56" i="325"/>
  <c r="J55" i="325"/>
  <c r="J54" i="325"/>
  <c r="J53" i="325"/>
  <c r="J52" i="325"/>
  <c r="J51" i="325" l="1"/>
  <c r="J50" i="325" l="1"/>
  <c r="J49" i="325"/>
  <c r="J48" i="325"/>
  <c r="J47" i="325"/>
  <c r="J46" i="325"/>
  <c r="J45" i="325"/>
  <c r="J44" i="325"/>
  <c r="J43" i="325"/>
  <c r="J42" i="325"/>
  <c r="J41" i="325"/>
  <c r="J40" i="325"/>
  <c r="J39" i="325"/>
  <c r="J38" i="325"/>
  <c r="J37" i="325"/>
  <c r="J36" i="325"/>
  <c r="J35" i="325"/>
  <c r="J34" i="325"/>
  <c r="J33" i="325"/>
  <c r="J32" i="325"/>
  <c r="J31" i="325"/>
  <c r="J30" i="325"/>
  <c r="J29" i="325"/>
  <c r="J28" i="325"/>
  <c r="J27" i="325"/>
  <c r="J26" i="325"/>
  <c r="J25" i="325"/>
  <c r="J24" i="325"/>
  <c r="J23" i="325"/>
  <c r="J22" i="325"/>
  <c r="J21" i="325"/>
  <c r="J20" i="325"/>
  <c r="J19" i="325"/>
  <c r="J18" i="325"/>
  <c r="J17" i="325"/>
  <c r="J16" i="325"/>
  <c r="J15" i="325"/>
  <c r="J14" i="325"/>
  <c r="J13" i="325"/>
  <c r="J12" i="325"/>
  <c r="J11" i="325" l="1"/>
  <c r="J10" i="325"/>
  <c r="J9" i="325" l="1"/>
  <c r="J8" i="325" l="1"/>
  <c r="J7" i="325"/>
  <c r="J6" i="325" l="1"/>
  <c r="J5" i="325" l="1"/>
  <c r="J4" i="325"/>
  <c r="J3" i="325" l="1"/>
  <c r="I1" i="324" l="1"/>
  <c r="Q2" i="326" l="1" a="1"/>
  <c r="Q2" i="326" s="1"/>
  <c r="Q15" i="326" l="1" a="1"/>
  <c r="Q15" i="326" s="1"/>
  <c r="Q16" i="326" a="1"/>
  <c r="Q16" i="326" s="1"/>
  <c r="Q17" i="326" a="1"/>
  <c r="Q17" i="326" s="1"/>
  <c r="Q18" i="326" a="1"/>
  <c r="Q18" i="326" s="1"/>
  <c r="Q19" i="326" a="1"/>
  <c r="Q19" i="326" s="1"/>
  <c r="Q20" i="326" a="1"/>
  <c r="Q20" i="326" s="1"/>
  <c r="Q21" i="326" a="1"/>
  <c r="Q21" i="326" s="1"/>
  <c r="Q22" i="326" a="1"/>
  <c r="Q22" i="326" s="1"/>
  <c r="Q23" i="326" a="1"/>
  <c r="Q23" i="326" s="1"/>
  <c r="P16" i="326" l="1" a="1"/>
  <c r="P16" i="326" s="1"/>
  <c r="P20" i="326" a="1"/>
  <c r="P20" i="326" s="1"/>
  <c r="P21" i="326" a="1"/>
  <c r="P21" i="326" s="1"/>
  <c r="P17" i="326" a="1"/>
  <c r="P17" i="326" s="1"/>
  <c r="P23" i="326" a="1"/>
  <c r="P23" i="326" s="1"/>
  <c r="P18" i="326" a="1"/>
  <c r="P18" i="326" s="1"/>
  <c r="P22" i="326" a="1"/>
  <c r="P22" i="326" s="1"/>
  <c r="P15" i="326" a="1"/>
  <c r="P15" i="326" s="1"/>
  <c r="P19" i="326" a="1"/>
  <c r="P19" i="326" s="1"/>
  <c r="D23" i="326" a="1"/>
  <c r="D23" i="326" s="1"/>
  <c r="D21" i="326" a="1"/>
  <c r="D21" i="326" s="1"/>
  <c r="D22" i="326" a="1"/>
  <c r="D22" i="326" s="1"/>
  <c r="D18" i="326" a="1"/>
  <c r="D18" i="326" s="1"/>
  <c r="D17" i="326" a="1"/>
  <c r="D17" i="326" s="1"/>
  <c r="C19" i="326" a="1"/>
  <c r="C19" i="326" s="1"/>
  <c r="E23" i="326" a="1"/>
  <c r="E23" i="326" s="1"/>
  <c r="E17" i="326" a="1"/>
  <c r="E17" i="326" s="1"/>
  <c r="F20" i="326" a="1"/>
  <c r="F20" i="326" s="1"/>
  <c r="G23" i="326" a="1"/>
  <c r="G23" i="326" s="1"/>
  <c r="G17" i="326" a="1"/>
  <c r="G17" i="326" s="1"/>
  <c r="H20" i="326" a="1"/>
  <c r="H20" i="326" s="1"/>
  <c r="I23" i="326" a="1"/>
  <c r="I23" i="326" s="1"/>
  <c r="I17" i="326" a="1"/>
  <c r="I17" i="326" s="1"/>
  <c r="J20" i="326" a="1"/>
  <c r="J20" i="326" s="1"/>
  <c r="K23" i="326" a="1"/>
  <c r="K23" i="326" s="1"/>
  <c r="K17" i="326" a="1"/>
  <c r="K17" i="326" s="1"/>
  <c r="L20" i="326" a="1"/>
  <c r="L20" i="326" s="1"/>
  <c r="M23" i="326" a="1"/>
  <c r="M23" i="326" s="1"/>
  <c r="M17" i="326" a="1"/>
  <c r="M17" i="326" s="1"/>
  <c r="N20" i="326" a="1"/>
  <c r="N20" i="326" s="1"/>
  <c r="O23" i="326" a="1"/>
  <c r="O23" i="326" s="1"/>
  <c r="O17" i="326" a="1"/>
  <c r="O17" i="326" s="1"/>
  <c r="D16" i="326" a="1"/>
  <c r="D16" i="326" s="1"/>
  <c r="C18" i="326" a="1"/>
  <c r="C18" i="326" s="1"/>
  <c r="E22" i="326" a="1"/>
  <c r="E22" i="326" s="1"/>
  <c r="E16" i="326" a="1"/>
  <c r="E16" i="326" s="1"/>
  <c r="F19" i="326" a="1"/>
  <c r="F19" i="326" s="1"/>
  <c r="G22" i="326" a="1"/>
  <c r="G22" i="326" s="1"/>
  <c r="G16" i="326" a="1"/>
  <c r="G16" i="326" s="1"/>
  <c r="H19" i="326" a="1"/>
  <c r="H19" i="326" s="1"/>
  <c r="I22" i="326" a="1"/>
  <c r="I22" i="326" s="1"/>
  <c r="I16" i="326" a="1"/>
  <c r="I16" i="326" s="1"/>
  <c r="J19" i="326" a="1"/>
  <c r="J19" i="326" s="1"/>
  <c r="K22" i="326" a="1"/>
  <c r="K22" i="326" s="1"/>
  <c r="K16" i="326" a="1"/>
  <c r="K16" i="326" s="1"/>
  <c r="L19" i="326" a="1"/>
  <c r="L19" i="326" s="1"/>
  <c r="M22" i="326" a="1"/>
  <c r="M22" i="326" s="1"/>
  <c r="M16" i="326" a="1"/>
  <c r="M16" i="326" s="1"/>
  <c r="N19" i="326" a="1"/>
  <c r="N19" i="326" s="1"/>
  <c r="O22" i="326" a="1"/>
  <c r="O22" i="326" s="1"/>
  <c r="O16" i="326" a="1"/>
  <c r="O16" i="326" s="1"/>
  <c r="C23" i="326" a="1"/>
  <c r="C23" i="326" s="1"/>
  <c r="C17" i="326" a="1"/>
  <c r="C17" i="326" s="1"/>
  <c r="E21" i="326" a="1"/>
  <c r="E21" i="326" s="1"/>
  <c r="E15" i="326" a="1"/>
  <c r="E15" i="326" s="1"/>
  <c r="F18" i="326" a="1"/>
  <c r="F18" i="326" s="1"/>
  <c r="G21" i="326" a="1"/>
  <c r="G21" i="326" s="1"/>
  <c r="G15" i="326" a="1"/>
  <c r="G15" i="326" s="1"/>
  <c r="H18" i="326" a="1"/>
  <c r="H18" i="326" s="1"/>
  <c r="I21" i="326" a="1"/>
  <c r="I21" i="326" s="1"/>
  <c r="I15" i="326" a="1"/>
  <c r="I15" i="326" s="1"/>
  <c r="J18" i="326" a="1"/>
  <c r="J18" i="326" s="1"/>
  <c r="K21" i="326" a="1"/>
  <c r="K21" i="326" s="1"/>
  <c r="K15" i="326" a="1"/>
  <c r="K15" i="326" s="1"/>
  <c r="L18" i="326" a="1"/>
  <c r="L18" i="326" s="1"/>
  <c r="M21" i="326" a="1"/>
  <c r="M21" i="326" s="1"/>
  <c r="M15" i="326" a="1"/>
  <c r="M15" i="326" s="1"/>
  <c r="N18" i="326" a="1"/>
  <c r="N18" i="326" s="1"/>
  <c r="O21" i="326" a="1"/>
  <c r="O21" i="326" s="1"/>
  <c r="O15" i="326" a="1"/>
  <c r="O15" i="326" s="1"/>
  <c r="D20" i="326" a="1"/>
  <c r="D20" i="326" s="1"/>
  <c r="C22" i="326" a="1"/>
  <c r="C22" i="326" s="1"/>
  <c r="C16" i="326" a="1"/>
  <c r="C16" i="326" s="1"/>
  <c r="E20" i="326" a="1"/>
  <c r="E20" i="326" s="1"/>
  <c r="F23" i="326" a="1"/>
  <c r="F23" i="326" s="1"/>
  <c r="F17" i="326" a="1"/>
  <c r="F17" i="326" s="1"/>
  <c r="G20" i="326" a="1"/>
  <c r="G20" i="326" s="1"/>
  <c r="H23" i="326" a="1"/>
  <c r="H23" i="326" s="1"/>
  <c r="H17" i="326" a="1"/>
  <c r="H17" i="326" s="1"/>
  <c r="I20" i="326" a="1"/>
  <c r="I20" i="326" s="1"/>
  <c r="J23" i="326" a="1"/>
  <c r="J23" i="326" s="1"/>
  <c r="J17" i="326" a="1"/>
  <c r="J17" i="326" s="1"/>
  <c r="K20" i="326" a="1"/>
  <c r="K20" i="326" s="1"/>
  <c r="L23" i="326" a="1"/>
  <c r="L23" i="326" s="1"/>
  <c r="L17" i="326" a="1"/>
  <c r="L17" i="326" s="1"/>
  <c r="M20" i="326" a="1"/>
  <c r="M20" i="326" s="1"/>
  <c r="N23" i="326" a="1"/>
  <c r="N23" i="326" s="1"/>
  <c r="N17" i="326" a="1"/>
  <c r="N17" i="326" s="1"/>
  <c r="O20" i="326" a="1"/>
  <c r="O20" i="326" s="1"/>
  <c r="C20" i="326" a="1"/>
  <c r="C20" i="326" s="1"/>
  <c r="D19" i="326" a="1"/>
  <c r="D19" i="326" s="1"/>
  <c r="C21" i="326" a="1"/>
  <c r="C21" i="326" s="1"/>
  <c r="C15" i="326" a="1"/>
  <c r="C15" i="326" s="1"/>
  <c r="E19" i="326" a="1"/>
  <c r="E19" i="326" s="1"/>
  <c r="F22" i="326" a="1"/>
  <c r="F22" i="326" s="1"/>
  <c r="F16" i="326" a="1"/>
  <c r="F16" i="326" s="1"/>
  <c r="G19" i="326" a="1"/>
  <c r="G19" i="326" s="1"/>
  <c r="H22" i="326" a="1"/>
  <c r="H22" i="326" s="1"/>
  <c r="H16" i="326" a="1"/>
  <c r="H16" i="326" s="1"/>
  <c r="I19" i="326" a="1"/>
  <c r="I19" i="326" s="1"/>
  <c r="J22" i="326" a="1"/>
  <c r="J22" i="326" s="1"/>
  <c r="J16" i="326" a="1"/>
  <c r="J16" i="326" s="1"/>
  <c r="K19" i="326" a="1"/>
  <c r="K19" i="326" s="1"/>
  <c r="L22" i="326" a="1"/>
  <c r="L22" i="326" s="1"/>
  <c r="L16" i="326" a="1"/>
  <c r="L16" i="326" s="1"/>
  <c r="M19" i="326" a="1"/>
  <c r="M19" i="326" s="1"/>
  <c r="N22" i="326" a="1"/>
  <c r="N22" i="326" s="1"/>
  <c r="N16" i="326" a="1"/>
  <c r="N16" i="326" s="1"/>
  <c r="O19" i="326" a="1"/>
  <c r="O19" i="326" s="1"/>
  <c r="D15" i="326" a="1"/>
  <c r="D15" i="326" s="1"/>
  <c r="E18" i="326" a="1"/>
  <c r="E18" i="326" s="1"/>
  <c r="F21" i="326" a="1"/>
  <c r="F21" i="326" s="1"/>
  <c r="F15" i="326" a="1"/>
  <c r="F15" i="326" s="1"/>
  <c r="G18" i="326" a="1"/>
  <c r="G18" i="326" s="1"/>
  <c r="H21" i="326" a="1"/>
  <c r="H21" i="326" s="1"/>
  <c r="H15" i="326" a="1"/>
  <c r="H15" i="326" s="1"/>
  <c r="I18" i="326" a="1"/>
  <c r="I18" i="326" s="1"/>
  <c r="J21" i="326" a="1"/>
  <c r="J21" i="326" s="1"/>
  <c r="J15" i="326" a="1"/>
  <c r="J15" i="326" s="1"/>
  <c r="K18" i="326" a="1"/>
  <c r="K18" i="326" s="1"/>
  <c r="L21" i="326" a="1"/>
  <c r="L21" i="326" s="1"/>
  <c r="L15" i="326" a="1"/>
  <c r="L15" i="326" s="1"/>
  <c r="M18" i="326" a="1"/>
  <c r="M18" i="326" s="1"/>
  <c r="N21" i="326" a="1"/>
  <c r="N21" i="326" s="1"/>
  <c r="N15" i="326" a="1"/>
  <c r="N15" i="326" s="1"/>
  <c r="O18" i="326" a="1"/>
  <c r="O18" i="326" s="1"/>
  <c r="Q24" i="326"/>
  <c r="E1" i="325"/>
  <c r="F24" i="326" l="1"/>
  <c r="I24" i="326"/>
  <c r="D24" i="326"/>
  <c r="K24" i="326"/>
  <c r="G24" i="326"/>
  <c r="J24" i="326"/>
  <c r="M24" i="326"/>
  <c r="E24" i="326"/>
  <c r="C24" i="326"/>
  <c r="N24" i="326"/>
  <c r="P24" i="326"/>
  <c r="L24" i="326"/>
  <c r="H24" i="326"/>
  <c r="O24" i="326"/>
  <c r="N10" i="326" a="1"/>
  <c r="N10" i="326" s="1"/>
  <c r="N9" i="326" a="1"/>
  <c r="N9" i="326" s="1"/>
  <c r="N7" i="326" a="1"/>
  <c r="N7" i="326" s="1"/>
  <c r="N6" i="326" a="1"/>
  <c r="N6" i="326" s="1"/>
  <c r="N5" i="326" a="1"/>
  <c r="N5" i="326" s="1"/>
  <c r="N4" i="326" a="1"/>
  <c r="N4" i="326" s="1"/>
  <c r="N3" i="326" a="1"/>
  <c r="N3" i="326" s="1"/>
  <c r="N2" i="326" a="1"/>
  <c r="N2" i="326" s="1"/>
  <c r="O10" i="326" a="1"/>
  <c r="O10" i="326" s="1"/>
  <c r="O9" i="326" a="1"/>
  <c r="O9" i="326" s="1"/>
  <c r="O8" i="326" a="1"/>
  <c r="O8" i="326" s="1"/>
  <c r="O7" i="326" a="1"/>
  <c r="O7" i="326" s="1"/>
  <c r="O6" i="326" a="1"/>
  <c r="O6" i="326" s="1"/>
  <c r="O5" i="326" a="1"/>
  <c r="O5" i="326" s="1"/>
  <c r="O4" i="326" a="1"/>
  <c r="O4" i="326" s="1"/>
  <c r="O3" i="326" a="1"/>
  <c r="O3" i="326" s="1"/>
  <c r="O2" i="326" a="1"/>
  <c r="O2" i="326" s="1"/>
  <c r="P2" i="326" a="1"/>
  <c r="P2" i="326" s="1"/>
  <c r="Q10" i="326" a="1"/>
  <c r="Q10" i="326" s="1"/>
  <c r="P10" i="326" s="1" a="1"/>
  <c r="P10" i="326" s="1"/>
  <c r="Q9" i="326" a="1"/>
  <c r="Q9" i="326" s="1"/>
  <c r="P9" i="326" s="1" a="1"/>
  <c r="P9" i="326" s="1"/>
  <c r="Q8" i="326" a="1"/>
  <c r="Q8" i="326" s="1"/>
  <c r="P8" i="326" s="1" a="1"/>
  <c r="P8" i="326" s="1"/>
  <c r="Q7" i="326" a="1"/>
  <c r="Q7" i="326" s="1"/>
  <c r="Q6" i="326" a="1"/>
  <c r="Q6" i="326" s="1"/>
  <c r="P6" i="326" s="1" a="1"/>
  <c r="P6" i="326" s="1"/>
  <c r="Q5" i="326" a="1"/>
  <c r="Q5" i="326" s="1"/>
  <c r="P5" i="326" s="1" a="1"/>
  <c r="P5" i="326" s="1"/>
  <c r="Q4" i="326" a="1"/>
  <c r="Q4" i="326" s="1"/>
  <c r="P4" i="326" s="1" a="1"/>
  <c r="P4" i="326" s="1"/>
  <c r="Q3" i="326" a="1"/>
  <c r="Q3" i="326" s="1"/>
  <c r="O11" i="326" l="1"/>
  <c r="P3" i="326" a="1"/>
  <c r="P3" i="326" s="1"/>
  <c r="Q11" i="326"/>
  <c r="D2" i="326" a="1"/>
  <c r="D2" i="326" s="1"/>
  <c r="C1" i="281" l="1"/>
  <c r="C1" i="324" l="1"/>
  <c r="P7" i="326" a="1"/>
  <c r="P7" i="326" s="1"/>
  <c r="P11" i="326" s="1"/>
  <c r="C2" i="326"/>
  <c r="C3" i="326"/>
  <c r="C4" i="326"/>
  <c r="C5" i="326"/>
  <c r="C6" i="326"/>
  <c r="C7" i="326"/>
  <c r="C8" i="326"/>
  <c r="C9" i="326"/>
  <c r="C10" i="326"/>
  <c r="N8" i="326" a="1"/>
  <c r="N8" i="326" s="1"/>
  <c r="N11" i="326" s="1"/>
  <c r="M2" i="326" a="1"/>
  <c r="M2" i="326" s="1"/>
  <c r="M3" i="326" a="1"/>
  <c r="M3" i="326" s="1"/>
  <c r="M4" i="326" a="1"/>
  <c r="M4" i="326" s="1"/>
  <c r="M5" i="326" a="1"/>
  <c r="M5" i="326" s="1"/>
  <c r="M6" i="326" a="1"/>
  <c r="M6" i="326" s="1"/>
  <c r="M7" i="326" a="1"/>
  <c r="M7" i="326" s="1"/>
  <c r="M8" i="326" a="1"/>
  <c r="M8" i="326" s="1"/>
  <c r="M9" i="326" a="1"/>
  <c r="M9" i="326" s="1"/>
  <c r="M10" i="326" a="1"/>
  <c r="M10" i="326" s="1"/>
  <c r="L2" i="326" a="1"/>
  <c r="L2" i="326" s="1"/>
  <c r="L3" i="326" a="1"/>
  <c r="L3" i="326" s="1"/>
  <c r="L4" i="326" a="1"/>
  <c r="L4" i="326" s="1"/>
  <c r="L5" i="326" a="1"/>
  <c r="L5" i="326" s="1"/>
  <c r="L6" i="326" a="1"/>
  <c r="L6" i="326" s="1"/>
  <c r="L7" i="326" a="1"/>
  <c r="L7" i="326" s="1"/>
  <c r="L8" i="326" a="1"/>
  <c r="L8" i="326" s="1"/>
  <c r="L9" i="326" a="1"/>
  <c r="L9" i="326" s="1"/>
  <c r="L10" i="326" a="1"/>
  <c r="L10" i="326" s="1"/>
  <c r="K2" i="326" a="1"/>
  <c r="K2" i="326" s="1"/>
  <c r="K3" i="326" a="1"/>
  <c r="K3" i="326" s="1"/>
  <c r="K4" i="326" a="1"/>
  <c r="K4" i="326" s="1"/>
  <c r="K5" i="326" a="1"/>
  <c r="K5" i="326" s="1"/>
  <c r="K6" i="326" a="1"/>
  <c r="K6" i="326" s="1"/>
  <c r="K7" i="326" a="1"/>
  <c r="K7" i="326" s="1"/>
  <c r="K8" i="326" a="1"/>
  <c r="K8" i="326" s="1"/>
  <c r="K9" i="326" a="1"/>
  <c r="K9" i="326" s="1"/>
  <c r="K10" i="326" a="1"/>
  <c r="K10" i="326" s="1"/>
  <c r="J2" i="326" a="1"/>
  <c r="J2" i="326" s="1"/>
  <c r="J3" i="326" a="1"/>
  <c r="J3" i="326" s="1"/>
  <c r="J4" i="326" a="1"/>
  <c r="J4" i="326" s="1"/>
  <c r="J5" i="326" a="1"/>
  <c r="J5" i="326" s="1"/>
  <c r="J6" i="326" a="1"/>
  <c r="J6" i="326" s="1"/>
  <c r="J7" i="326" a="1"/>
  <c r="J7" i="326" s="1"/>
  <c r="J8" i="326" a="1"/>
  <c r="J8" i="326" s="1"/>
  <c r="J9" i="326" a="1"/>
  <c r="J9" i="326" s="1"/>
  <c r="J10" i="326" a="1"/>
  <c r="J10" i="326" s="1"/>
  <c r="I2" i="326" a="1"/>
  <c r="I2" i="326" s="1"/>
  <c r="I3" i="326" a="1"/>
  <c r="I3" i="326" s="1"/>
  <c r="I4" i="326" a="1"/>
  <c r="I4" i="326" s="1"/>
  <c r="I5" i="326" a="1"/>
  <c r="I5" i="326" s="1"/>
  <c r="I6" i="326" a="1"/>
  <c r="I6" i="326" s="1"/>
  <c r="I7" i="326" a="1"/>
  <c r="I7" i="326" s="1"/>
  <c r="I8" i="326" a="1"/>
  <c r="I8" i="326" s="1"/>
  <c r="I9" i="326" a="1"/>
  <c r="I9" i="326" s="1"/>
  <c r="I10" i="326" a="1"/>
  <c r="I10" i="326" s="1"/>
  <c r="H2" i="326" a="1"/>
  <c r="H2" i="326" s="1"/>
  <c r="H3" i="326" a="1"/>
  <c r="H3" i="326" s="1"/>
  <c r="H4" i="326" a="1"/>
  <c r="H4" i="326" s="1"/>
  <c r="H5" i="326" a="1"/>
  <c r="H5" i="326" s="1"/>
  <c r="H6" i="326" a="1"/>
  <c r="H6" i="326" s="1"/>
  <c r="H7" i="326" a="1"/>
  <c r="H7" i="326" s="1"/>
  <c r="H8" i="326" a="1"/>
  <c r="H8" i="326" s="1"/>
  <c r="H9" i="326" a="1"/>
  <c r="H9" i="326" s="1"/>
  <c r="H10" i="326" a="1"/>
  <c r="H10" i="326" s="1"/>
  <c r="G2" i="326" a="1"/>
  <c r="G2" i="326" s="1"/>
  <c r="G3" i="326" a="1"/>
  <c r="G3" i="326" s="1"/>
  <c r="G4" i="326" a="1"/>
  <c r="G4" i="326" s="1"/>
  <c r="G5" i="326" a="1"/>
  <c r="G5" i="326" s="1"/>
  <c r="G6" i="326" a="1"/>
  <c r="G6" i="326" s="1"/>
  <c r="G7" i="326" a="1"/>
  <c r="G7" i="326" s="1"/>
  <c r="G8" i="326" a="1"/>
  <c r="G8" i="326" s="1"/>
  <c r="G9" i="326" a="1"/>
  <c r="G9" i="326" s="1"/>
  <c r="G10" i="326" a="1"/>
  <c r="G10" i="326" s="1"/>
  <c r="F2" i="326" a="1"/>
  <c r="F2" i="326" s="1"/>
  <c r="F3" i="326" a="1"/>
  <c r="F3" i="326" s="1"/>
  <c r="F4" i="326" a="1"/>
  <c r="F4" i="326" s="1"/>
  <c r="F5" i="326" a="1"/>
  <c r="F5" i="326" s="1"/>
  <c r="F6" i="326" a="1"/>
  <c r="F6" i="326" s="1"/>
  <c r="F7" i="326" a="1"/>
  <c r="F7" i="326" s="1"/>
  <c r="F8" i="326" a="1"/>
  <c r="F8" i="326" s="1"/>
  <c r="F9" i="326" a="1"/>
  <c r="F9" i="326" s="1"/>
  <c r="F10" i="326" a="1"/>
  <c r="F10" i="326" s="1"/>
  <c r="E2" i="326" a="1"/>
  <c r="E2" i="326" s="1"/>
  <c r="E3" i="326" a="1"/>
  <c r="E3" i="326" s="1"/>
  <c r="E4" i="326" a="1"/>
  <c r="E4" i="326" s="1"/>
  <c r="E5" i="326" a="1"/>
  <c r="E5" i="326" s="1"/>
  <c r="E6" i="326" a="1"/>
  <c r="E6" i="326" s="1"/>
  <c r="E7" i="326" a="1"/>
  <c r="E7" i="326" s="1"/>
  <c r="E8" i="326" a="1"/>
  <c r="E8" i="326" s="1"/>
  <c r="E9" i="326" a="1"/>
  <c r="E9" i="326" s="1"/>
  <c r="E10" i="326" a="1"/>
  <c r="E10" i="326" s="1"/>
  <c r="D3" i="326" a="1"/>
  <c r="D3" i="326" s="1"/>
  <c r="D4" i="326" a="1"/>
  <c r="D4" i="326" s="1"/>
  <c r="D5" i="326" a="1"/>
  <c r="D5" i="326" s="1"/>
  <c r="D6" i="326" a="1"/>
  <c r="D6" i="326" s="1"/>
  <c r="D7" i="326" a="1"/>
  <c r="D7" i="326" s="1"/>
  <c r="D8" i="326" a="1"/>
  <c r="D8" i="326" s="1"/>
  <c r="D9" i="326" a="1"/>
  <c r="D9" i="326" s="1"/>
  <c r="D10" i="326" a="1"/>
  <c r="D10" i="326" s="1"/>
  <c r="C2" i="324" l="1"/>
  <c r="C11" i="326"/>
  <c r="J11" i="326"/>
  <c r="F11" i="326"/>
  <c r="E11" i="326"/>
  <c r="G11" i="326"/>
  <c r="I11" i="326"/>
  <c r="K11" i="326"/>
  <c r="M11" i="326"/>
  <c r="D11" i="326"/>
  <c r="H11" i="326"/>
  <c r="L11" i="3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<sst xmlns="http://schemas.openxmlformats.org/spreadsheetml/2006/main" count="3902" uniqueCount="1077">
  <si>
    <t>Nightly Preliminary 85s</t>
  </si>
  <si>
    <t>VALID</t>
  </si>
  <si>
    <t>TRACKING ID</t>
  </si>
  <si>
    <t>Morning After Code 85s</t>
  </si>
  <si>
    <t>WA#</t>
  </si>
  <si>
    <t>DRIVER NAME</t>
  </si>
  <si>
    <t>CONTRACTOR</t>
  </si>
  <si>
    <t>VALIDITY</t>
  </si>
  <si>
    <t xml:space="preserve">RECIPIENT </t>
  </si>
  <si>
    <t>ADDRESS</t>
  </si>
  <si>
    <t>HANDSHEET ISSUE DATE</t>
  </si>
  <si>
    <t>VANSCAN DATE</t>
  </si>
  <si>
    <t>VAN #</t>
  </si>
  <si>
    <t>COMMENTS</t>
  </si>
  <si>
    <t>SHIPPER</t>
  </si>
  <si>
    <t>SHIPPER PHONE#</t>
  </si>
  <si>
    <t>WEIGHT</t>
  </si>
  <si>
    <t>PO NUMBER</t>
  </si>
  <si>
    <t>RECIPIENT PHONE#</t>
  </si>
  <si>
    <t>AS OF:</t>
  </si>
  <si>
    <t>Outstanding Code 85s</t>
  </si>
  <si>
    <t>RESOLVE DATE</t>
  </si>
  <si>
    <t>VALID 85</t>
  </si>
  <si>
    <t>0133 / 316421</t>
  </si>
  <si>
    <t>Shipper's #</t>
  </si>
  <si>
    <t>Invalid #</t>
  </si>
  <si>
    <t>They Don't Know</t>
  </si>
  <si>
    <t>-</t>
  </si>
  <si>
    <t>0615 / 87511</t>
  </si>
  <si>
    <t>0148 / 317397</t>
  </si>
  <si>
    <t>0368 / 368368</t>
  </si>
  <si>
    <t>0668 / 668</t>
  </si>
  <si>
    <t>Invlaid #</t>
  </si>
  <si>
    <t>No Voicemail Box</t>
  </si>
  <si>
    <t>0440 / 440440</t>
  </si>
  <si>
    <t>0145 / 400398</t>
  </si>
  <si>
    <t>0340 / 405337</t>
  </si>
  <si>
    <t>0421 / 14958</t>
  </si>
  <si>
    <t>0237 / 85227</t>
  </si>
  <si>
    <t>4.00 lbs</t>
  </si>
  <si>
    <t>Confirmed Not Delivered</t>
  </si>
  <si>
    <t>Nuskin</t>
  </si>
  <si>
    <t>0344 / 461887</t>
  </si>
  <si>
    <t>0654 / 654</t>
  </si>
  <si>
    <t>No Voicemail</t>
  </si>
  <si>
    <t>Walmart</t>
  </si>
  <si>
    <t>0356 / 434749</t>
  </si>
  <si>
    <t>0656 / 656</t>
  </si>
  <si>
    <t>Startup Building</t>
  </si>
  <si>
    <t>Voicemail Left</t>
  </si>
  <si>
    <t>0253 / 75182</t>
  </si>
  <si>
    <t>7/1 Delivery Scan</t>
  </si>
  <si>
    <t>U-Haul</t>
  </si>
  <si>
    <t>PO BOX</t>
  </si>
  <si>
    <t>Sam's Club</t>
  </si>
  <si>
    <t>0141 / 409256</t>
  </si>
  <si>
    <t>0424 / 774047</t>
  </si>
  <si>
    <t>Vivint</t>
  </si>
  <si>
    <t>0530 / 530530</t>
  </si>
  <si>
    <t>0422 / 422422</t>
  </si>
  <si>
    <t>RESPONSE TIME</t>
  </si>
  <si>
    <t>0424 / 424424</t>
  </si>
  <si>
    <t>0125 / 424959</t>
  </si>
  <si>
    <t>0132 / 132132</t>
  </si>
  <si>
    <t>0257 / 412800</t>
  </si>
  <si>
    <t>Smoking Apple</t>
  </si>
  <si>
    <t>Four Chairs</t>
  </si>
  <si>
    <t>7/1 Damaged Scan</t>
  </si>
  <si>
    <t>CSA</t>
  </si>
  <si>
    <t>Last 12 Months Total</t>
  </si>
  <si>
    <t>12 Months Ago</t>
  </si>
  <si>
    <t>11 Months Ago</t>
  </si>
  <si>
    <t>10 Months Ago</t>
  </si>
  <si>
    <t>9 Months Ago</t>
  </si>
  <si>
    <t>8 Months Ago</t>
  </si>
  <si>
    <t>7 Months Ago</t>
  </si>
  <si>
    <t>6 Months Ago</t>
  </si>
  <si>
    <t>5 Months Ago</t>
  </si>
  <si>
    <t>4 Months Ago</t>
  </si>
  <si>
    <t>3 Months Ago</t>
  </si>
  <si>
    <t>2 Months Ago</t>
  </si>
  <si>
    <t>Prev Month</t>
  </si>
  <si>
    <t>Current Month</t>
  </si>
  <si>
    <t>Unresolved</t>
  </si>
  <si>
    <t>ALL</t>
  </si>
  <si>
    <t>Last 12 Months Average</t>
  </si>
  <si>
    <t>Date</t>
  </si>
  <si>
    <t>Vehicle</t>
  </si>
  <si>
    <t>Driver</t>
  </si>
  <si>
    <t>WA</t>
  </si>
  <si>
    <t>164164    324405</t>
  </si>
  <si>
    <t>169169    72736</t>
  </si>
  <si>
    <t>421735    418988</t>
  </si>
  <si>
    <t>439934    10319</t>
  </si>
  <si>
    <t>260260    5117</t>
  </si>
  <si>
    <t>360360    303810</t>
  </si>
  <si>
    <t>362362    437225</t>
  </si>
  <si>
    <t>368368    421771</t>
  </si>
  <si>
    <t>376376    314438</t>
  </si>
  <si>
    <t>463876    325325</t>
  </si>
  <si>
    <t>774047    425425</t>
  </si>
  <si>
    <t>520520    260397</t>
  </si>
  <si>
    <t>522522    425293</t>
  </si>
  <si>
    <t>530530    325140</t>
  </si>
  <si>
    <t>532532    320505</t>
  </si>
  <si>
    <t>538538    444160</t>
  </si>
  <si>
    <t>616    616616</t>
  </si>
  <si>
    <t>640    315473</t>
  </si>
  <si>
    <t>642    429229</t>
  </si>
  <si>
    <t>654    13690</t>
  </si>
  <si>
    <t>164164    86560</t>
  </si>
  <si>
    <t>169169    11762</t>
  </si>
  <si>
    <t>366366    425221</t>
  </si>
  <si>
    <t>369369    421770</t>
  </si>
  <si>
    <t>468468    324405</t>
  </si>
  <si>
    <t>423423    204529</t>
  </si>
  <si>
    <t>638    315472</t>
  </si>
  <si>
    <t>660    49721</t>
  </si>
  <si>
    <t>328328    321367</t>
  </si>
  <si>
    <t>400398    400389</t>
  </si>
  <si>
    <t>472472    11762</t>
  </si>
  <si>
    <t>656    13697</t>
  </si>
  <si>
    <t>370370    429229</t>
  </si>
  <si>
    <t>526526    260397</t>
  </si>
  <si>
    <t>264264    315472</t>
  </si>
  <si>
    <t>439934    22255</t>
  </si>
  <si>
    <t>468468    420522</t>
  </si>
  <si>
    <t>370370    86415</t>
  </si>
  <si>
    <t>162162    462023</t>
  </si>
  <si>
    <t>530530    461696</t>
  </si>
  <si>
    <t>264264    305542</t>
  </si>
  <si>
    <t>468468    461696</t>
  </si>
  <si>
    <t>660    13690</t>
  </si>
  <si>
    <t>314162    31416</t>
  </si>
  <si>
    <t>465465    115115</t>
  </si>
  <si>
    <t>538538    437225</t>
  </si>
  <si>
    <t>526526    581</t>
  </si>
  <si>
    <t>472472    10413</t>
  </si>
  <si>
    <t>305177    581</t>
  </si>
  <si>
    <t>470470    325140</t>
  </si>
  <si>
    <t>Wavetronix</t>
  </si>
  <si>
    <t>132132    12345</t>
  </si>
  <si>
    <t>256256    412667</t>
  </si>
  <si>
    <t>522522    581</t>
  </si>
  <si>
    <t>266266    307838</t>
  </si>
  <si>
    <t>411925    332332</t>
  </si>
  <si>
    <t>314162    14162</t>
  </si>
  <si>
    <t>522522    423185</t>
  </si>
  <si>
    <t>640    305542</t>
  </si>
  <si>
    <t>402360    324324</t>
  </si>
  <si>
    <t>309257    24223</t>
  </si>
  <si>
    <t>0329 / 309257</t>
  </si>
  <si>
    <t>4Life</t>
  </si>
  <si>
    <t>436436    24223</t>
  </si>
  <si>
    <t>0129 / 417342</t>
  </si>
  <si>
    <t>0156 / 420522</t>
  </si>
  <si>
    <t>0524 / 524524</t>
  </si>
  <si>
    <t>439935    39935</t>
  </si>
  <si>
    <t>266266    305542</t>
  </si>
  <si>
    <t>233233    303354</t>
  </si>
  <si>
    <t>774047    24223</t>
  </si>
  <si>
    <t>660    13697</t>
  </si>
  <si>
    <t>140140    436875</t>
  </si>
  <si>
    <t>144144    461696</t>
  </si>
  <si>
    <t>169169    115115</t>
  </si>
  <si>
    <t>362362    461885</t>
  </si>
  <si>
    <t>370370    87750</t>
  </si>
  <si>
    <t>359359    440711</t>
  </si>
  <si>
    <t>369336    421770</t>
  </si>
  <si>
    <t>422422    581</t>
  </si>
  <si>
    <t>774047    54236</t>
  </si>
  <si>
    <t>636    405987</t>
  </si>
  <si>
    <t>656    49721</t>
  </si>
  <si>
    <t>662    315472</t>
  </si>
  <si>
    <t>439935    10202</t>
  </si>
  <si>
    <t>253253    581</t>
  </si>
  <si>
    <t>337337    432598</t>
  </si>
  <si>
    <t>654654    13690</t>
  </si>
  <si>
    <t>233233    12345</t>
  </si>
  <si>
    <t>412800    260397</t>
  </si>
  <si>
    <t>436436    28320</t>
  </si>
  <si>
    <t>305177    412800</t>
  </si>
  <si>
    <t>774047    425316</t>
  </si>
  <si>
    <t>530530    310852</t>
  </si>
  <si>
    <t>640640    305542</t>
  </si>
  <si>
    <t>656656    13697</t>
  </si>
  <si>
    <t>660660    49721</t>
  </si>
  <si>
    <t>668668    13690</t>
  </si>
  <si>
    <t>615615    87511</t>
  </si>
  <si>
    <t>617617    421736</t>
  </si>
  <si>
    <t>0236 / 421733</t>
  </si>
  <si>
    <t>22.95 lbs</t>
  </si>
  <si>
    <t>136136    84334</t>
  </si>
  <si>
    <t>463875    12345</t>
  </si>
  <si>
    <t>404328    86532</t>
  </si>
  <si>
    <t>CHECK W/ QA</t>
  </si>
  <si>
    <t>CHECK QA</t>
  </si>
  <si>
    <t>140140    463875</t>
  </si>
  <si>
    <t>164164    44050</t>
  </si>
  <si>
    <t>409547    12345</t>
  </si>
  <si>
    <t>362362    303810</t>
  </si>
  <si>
    <t>366366    437225</t>
  </si>
  <si>
    <t>309257    32497</t>
  </si>
  <si>
    <t>436436    436123</t>
  </si>
  <si>
    <t>470470    86560</t>
  </si>
  <si>
    <t>522522    412800</t>
  </si>
  <si>
    <t>638638    315472</t>
  </si>
  <si>
    <t>640640    315473</t>
  </si>
  <si>
    <t>0341 / 310821</t>
  </si>
  <si>
    <t>164167    86560</t>
  </si>
  <si>
    <t>86159    314246</t>
  </si>
  <si>
    <t>336336    87377</t>
  </si>
  <si>
    <t>329329    303354</t>
  </si>
  <si>
    <t>369369    303810</t>
  </si>
  <si>
    <t>420420    203589</t>
  </si>
  <si>
    <t>470470    310852</t>
  </si>
  <si>
    <t>476476    325140</t>
  </si>
  <si>
    <t>530530    31050</t>
  </si>
  <si>
    <t>538538    400356</t>
  </si>
  <si>
    <t>642642    429229</t>
  </si>
  <si>
    <t>615    87511</t>
  </si>
  <si>
    <t>655655    746405</t>
  </si>
  <si>
    <t>0333 / 99443</t>
  </si>
  <si>
    <t>616 / 616616</t>
  </si>
  <si>
    <t>85135    314438</t>
  </si>
  <si>
    <t>434718    434748</t>
  </si>
  <si>
    <t>260260    5177</t>
  </si>
  <si>
    <t>376376    303810</t>
  </si>
  <si>
    <t>319319    319123</t>
  </si>
  <si>
    <t>436436    8453</t>
  </si>
  <si>
    <t>774047    24233</t>
  </si>
  <si>
    <t>530530    27630</t>
  </si>
  <si>
    <t>668    13690</t>
  </si>
  <si>
    <t>0253 / 423185</t>
  </si>
  <si>
    <t>132132    52475</t>
  </si>
  <si>
    <t>25323    425293</t>
  </si>
  <si>
    <t>482360    324324</t>
  </si>
  <si>
    <t>376376    10413</t>
  </si>
  <si>
    <t>310821    411925</t>
  </si>
  <si>
    <t>530530    318862</t>
  </si>
  <si>
    <t>Pinnacle Canyon Academy</t>
  </si>
  <si>
    <t>262262    307838</t>
  </si>
  <si>
    <t>253253    425293</t>
  </si>
  <si>
    <t>411925    24223</t>
  </si>
  <si>
    <t>348348    415600</t>
  </si>
  <si>
    <t>366366    303810</t>
  </si>
  <si>
    <t>376376    11762</t>
  </si>
  <si>
    <t>436436    8425</t>
  </si>
  <si>
    <t>440440    12345</t>
  </si>
  <si>
    <t>774047    425360</t>
  </si>
  <si>
    <t>522522    68840</t>
  </si>
  <si>
    <t>530530    44050</t>
  </si>
  <si>
    <t>266266    301757</t>
  </si>
  <si>
    <t>360360    400356</t>
  </si>
  <si>
    <t>376376    80260</t>
  </si>
  <si>
    <t>309257    321912</t>
  </si>
  <si>
    <t>310821    33737</t>
  </si>
  <si>
    <t>436436    54623</t>
  </si>
  <si>
    <t>440440    404328</t>
  </si>
  <si>
    <t>470470    44055</t>
  </si>
  <si>
    <t>0353 / 87376</t>
  </si>
  <si>
    <t>0157 / 87502</t>
  </si>
  <si>
    <t>0253 / 253253</t>
  </si>
  <si>
    <t>0341 / 432598</t>
  </si>
  <si>
    <t>133133    80260</t>
  </si>
  <si>
    <t>436436    34526</t>
  </si>
  <si>
    <t>440440    42318</t>
  </si>
  <si>
    <t>476476    44050</t>
  </si>
  <si>
    <t>0345 / 402666</t>
  </si>
  <si>
    <t>0617 / 421736</t>
  </si>
  <si>
    <t>8/7 Van Scan</t>
  </si>
  <si>
    <t>264264    315473</t>
  </si>
  <si>
    <t>309257    32932</t>
  </si>
  <si>
    <t>436436    34255</t>
  </si>
  <si>
    <t>617    421736</t>
  </si>
  <si>
    <t>0616 / 616</t>
  </si>
  <si>
    <t>0260 / 260260</t>
  </si>
  <si>
    <t>0365 / 320763</t>
  </si>
  <si>
    <t>0321 / 432597</t>
  </si>
  <si>
    <t>Motox Outlet</t>
  </si>
  <si>
    <t>Payson Food Corp</t>
  </si>
  <si>
    <t>Lowe's</t>
  </si>
  <si>
    <t>324324    56348</t>
  </si>
  <si>
    <t>87377    402666</t>
  </si>
  <si>
    <t>368368    303810</t>
  </si>
  <si>
    <t>436436    34258</t>
  </si>
  <si>
    <t>0660 / 660</t>
  </si>
  <si>
    <t>0162 / 162162</t>
  </si>
  <si>
    <t>0264 / 264264</t>
  </si>
  <si>
    <t>0325 / 325325</t>
  </si>
  <si>
    <t>0261 / 328267</t>
  </si>
  <si>
    <t>0420 / 420420</t>
  </si>
  <si>
    <t>432592    432595</t>
  </si>
  <si>
    <t>461696    46169</t>
  </si>
  <si>
    <t>321321    432597</t>
  </si>
  <si>
    <t>325325    84334</t>
  </si>
  <si>
    <t>436436    35182</t>
  </si>
  <si>
    <t>470470    431085</t>
  </si>
  <si>
    <t>419419    403441</t>
  </si>
  <si>
    <t>421421    14958</t>
  </si>
  <si>
    <t>LEFT VOICEMAIL</t>
  </si>
  <si>
    <t>NO VOICEMAIL BOX</t>
  </si>
  <si>
    <t>VIVINT</t>
  </si>
  <si>
    <t>VANS CANNOT CONFIRM</t>
  </si>
  <si>
    <t>132    12345</t>
  </si>
  <si>
    <t>463876    136136</t>
  </si>
  <si>
    <t>314162    301660</t>
  </si>
  <si>
    <t>362362    444160</t>
  </si>
  <si>
    <t>99443    33333</t>
  </si>
  <si>
    <t>310821    33733</t>
  </si>
  <si>
    <t>436436    31852</t>
  </si>
  <si>
    <t>438438    43843</t>
  </si>
  <si>
    <t>419419    581</t>
  </si>
  <si>
    <t>642    86415</t>
  </si>
  <si>
    <t>668    419020</t>
  </si>
  <si>
    <t>0422 / 404328</t>
  </si>
  <si>
    <t>Confirmed Delivery</t>
  </si>
  <si>
    <t>Rocky Mountain ATV</t>
  </si>
  <si>
    <t>No Voicemail Left</t>
  </si>
  <si>
    <t>0136 / 84334</t>
  </si>
  <si>
    <t>0423 / 423423</t>
  </si>
  <si>
    <t>0252 / 439934</t>
  </si>
  <si>
    <t>314162    402666</t>
  </si>
  <si>
    <t>309257    54231</t>
  </si>
  <si>
    <t>99443    851923</t>
  </si>
  <si>
    <t>436436    8463</t>
  </si>
  <si>
    <t>468468    86560</t>
  </si>
  <si>
    <t>419419    305177</t>
  </si>
  <si>
    <t>522522    30659</t>
  </si>
  <si>
    <t>530530    431085</t>
  </si>
  <si>
    <t>668    467062</t>
  </si>
  <si>
    <t>99443    458626</t>
  </si>
  <si>
    <t>436436    35214</t>
  </si>
  <si>
    <t>468468    431085</t>
  </si>
  <si>
    <t>530530    2763</t>
  </si>
  <si>
    <t>662    315473</t>
  </si>
  <si>
    <t>0662 / 662</t>
  </si>
  <si>
    <t>0337 / 310821</t>
  </si>
  <si>
    <t>JN AUTO</t>
  </si>
  <si>
    <t>Great Western Supply</t>
  </si>
  <si>
    <t>Discount Tire</t>
  </si>
  <si>
    <t>ELITE Manufacturing Packaging</t>
  </si>
  <si>
    <t>BYU Store</t>
  </si>
  <si>
    <t>341568    415600</t>
  </si>
  <si>
    <t>436436    34652</t>
  </si>
  <si>
    <t>0229 / 86159</t>
  </si>
  <si>
    <t>0161 / 461696</t>
  </si>
  <si>
    <t>352352    461885</t>
  </si>
  <si>
    <t>356356    434749</t>
  </si>
  <si>
    <t>436436    35692</t>
  </si>
  <si>
    <t>470470    40500</t>
  </si>
  <si>
    <t>774047    86462</t>
  </si>
  <si>
    <t>164614    86560</t>
  </si>
  <si>
    <t>117117    325140</t>
  </si>
  <si>
    <t>85227    237237</t>
  </si>
  <si>
    <t>411925    12345</t>
  </si>
  <si>
    <t>399369    421770</t>
  </si>
  <si>
    <t>436436    34256</t>
  </si>
  <si>
    <t>774047    464626</t>
  </si>
  <si>
    <t>542542    310852</t>
  </si>
  <si>
    <t>642    314162</t>
  </si>
  <si>
    <t>8/19 Delivery Scan</t>
  </si>
  <si>
    <t>132132    82087</t>
  </si>
  <si>
    <t>309257    89462</t>
  </si>
  <si>
    <t>345345    321367</t>
  </si>
  <si>
    <t>436436    37546</t>
  </si>
  <si>
    <t>774047    86162</t>
  </si>
  <si>
    <t>642    87377</t>
  </si>
  <si>
    <t>668    82087</t>
  </si>
  <si>
    <t>pulled in 19.09 seconds</t>
  </si>
  <si>
    <t>pulled at: 8/23/2021 8:14:45 PM</t>
  </si>
  <si>
    <t>Validating... 40/40</t>
  </si>
  <si>
    <t>validated in 111.81 seconds</t>
  </si>
  <si>
    <t>132132    87511</t>
  </si>
  <si>
    <t>467062    40500</t>
  </si>
  <si>
    <t>169169    80260</t>
  </si>
  <si>
    <t>260260    10273</t>
  </si>
  <si>
    <t>85227    273237</t>
  </si>
  <si>
    <t>409547    332332</t>
  </si>
  <si>
    <t>336336    87750</t>
  </si>
  <si>
    <t>463876    39853</t>
  </si>
  <si>
    <t>310821    12812</t>
  </si>
  <si>
    <t>349349    414479</t>
  </si>
  <si>
    <t>436436    37526</t>
  </si>
  <si>
    <t>468468    326234</t>
  </si>
  <si>
    <t>774047    86568</t>
  </si>
  <si>
    <t>524552    524524</t>
  </si>
  <si>
    <t>660    12345</t>
  </si>
  <si>
    <t>615615    82087</t>
  </si>
  <si>
    <t>DOE, JOHN</t>
  </si>
  <si>
    <t>SHMOE, JOE</t>
  </si>
  <si>
    <t>COMPANY 1</t>
  </si>
  <si>
    <t>COMPANY 2</t>
  </si>
  <si>
    <t>123 MAIN ST  SMALLTOWN</t>
  </si>
  <si>
    <t>123456789012</t>
  </si>
  <si>
    <t>123456789013</t>
  </si>
  <si>
    <t>123456789014</t>
  </si>
  <si>
    <t>LOCAL BUSINESS A</t>
  </si>
  <si>
    <t>LOCAL BUSINESS B</t>
  </si>
  <si>
    <t>456 7TH AVE BIGCITY</t>
  </si>
  <si>
    <t>0101 / 875302</t>
  </si>
  <si>
    <t>1111 / 68301</t>
  </si>
  <si>
    <t>ECOMMERCEWESITE.COM</t>
  </si>
  <si>
    <t>FULLFILLMENT CTR</t>
  </si>
  <si>
    <t>1075789613-1</t>
  </si>
  <si>
    <t>1075789613-2</t>
  </si>
  <si>
    <t>1075789613-3</t>
  </si>
  <si>
    <t>1075789613-4</t>
  </si>
  <si>
    <t>COMPANY1</t>
  </si>
  <si>
    <t>COMPANY2</t>
  </si>
  <si>
    <t>COMPANY3</t>
  </si>
  <si>
    <t>COMPANY4</t>
  </si>
  <si>
    <t>COMPANY5</t>
  </si>
  <si>
    <t>COMPANY6</t>
  </si>
  <si>
    <t>COMPANY7</t>
  </si>
  <si>
    <t>COMPANY8</t>
  </si>
  <si>
    <t>COMPANY9</t>
  </si>
  <si>
    <t>DRIVER 1</t>
  </si>
  <si>
    <t>DRIVER 2</t>
  </si>
  <si>
    <t>DRIVER 3</t>
  </si>
  <si>
    <t>DRIVER 4</t>
  </si>
  <si>
    <t>DRIVER 5</t>
  </si>
  <si>
    <t>DRIVER 6</t>
  </si>
  <si>
    <t>DRIVER 7</t>
  </si>
  <si>
    <t>DRIVER 8</t>
  </si>
  <si>
    <t>DRIVER 9</t>
  </si>
  <si>
    <t>DRIVER 10</t>
  </si>
  <si>
    <t>DRIVER 11</t>
  </si>
  <si>
    <t>DRIVER 12</t>
  </si>
  <si>
    <t>DRIVER 13</t>
  </si>
  <si>
    <t>DRIVER 14</t>
  </si>
  <si>
    <t>DRIVER 15</t>
  </si>
  <si>
    <t>DRIVER 16</t>
  </si>
  <si>
    <t>DRIVER 17</t>
  </si>
  <si>
    <t>DRIVER 18</t>
  </si>
  <si>
    <t>DRIVER 19</t>
  </si>
  <si>
    <t>DRIVER 20</t>
  </si>
  <si>
    <t>DRIVER 21</t>
  </si>
  <si>
    <t>DRIVER 22</t>
  </si>
  <si>
    <t>DRIVER 23</t>
  </si>
  <si>
    <t>DRIVER 24</t>
  </si>
  <si>
    <t>DRIVER 25</t>
  </si>
  <si>
    <t>DRIVER 26</t>
  </si>
  <si>
    <t>DRIVER 27</t>
  </si>
  <si>
    <t>DRIVER 28</t>
  </si>
  <si>
    <t>DRIVER 29</t>
  </si>
  <si>
    <t>DRIVER 30</t>
  </si>
  <si>
    <t>DRIVER 31</t>
  </si>
  <si>
    <t>DRIVER 32</t>
  </si>
  <si>
    <t>DRIVER 33</t>
  </si>
  <si>
    <t>DRIVER 34</t>
  </si>
  <si>
    <t>DRIVER 35</t>
  </si>
  <si>
    <t>DRIVER 36</t>
  </si>
  <si>
    <t>DRIVER 37</t>
  </si>
  <si>
    <t>DRIVER 38</t>
  </si>
  <si>
    <t>DRIVER 39</t>
  </si>
  <si>
    <t>DRIVER 40</t>
  </si>
  <si>
    <t>DRIVER 41</t>
  </si>
  <si>
    <t>DRIVER 42</t>
  </si>
  <si>
    <t>DRIVER 43</t>
  </si>
  <si>
    <t>DRIVER 44</t>
  </si>
  <si>
    <t>DRIVER 45</t>
  </si>
  <si>
    <t>DRIVER 46</t>
  </si>
  <si>
    <t>DRIVER 47</t>
  </si>
  <si>
    <t>DRIVER 48</t>
  </si>
  <si>
    <t>DRIVER 49</t>
  </si>
  <si>
    <t>DRIVER 50</t>
  </si>
  <si>
    <t>DRIVER 51</t>
  </si>
  <si>
    <t>DRIVER 52</t>
  </si>
  <si>
    <t>DRIVER 53</t>
  </si>
  <si>
    <t>DRIVER 54</t>
  </si>
  <si>
    <t>DRIVER 55</t>
  </si>
  <si>
    <t>DRIVER 56</t>
  </si>
  <si>
    <t>DRIVER 57</t>
  </si>
  <si>
    <t>DRIVER 58</t>
  </si>
  <si>
    <t>DRIVER 59</t>
  </si>
  <si>
    <t>DRIVER 60</t>
  </si>
  <si>
    <t>DRIVER 61</t>
  </si>
  <si>
    <t>DRIVER 62</t>
  </si>
  <si>
    <t>DRIVER 63</t>
  </si>
  <si>
    <t>DRIVER 64</t>
  </si>
  <si>
    <t>DRIVER 65</t>
  </si>
  <si>
    <t>DRIVER 66</t>
  </si>
  <si>
    <t>DRIVER 67</t>
  </si>
  <si>
    <t>DRIVER 68</t>
  </si>
  <si>
    <t>DRIVER 69</t>
  </si>
  <si>
    <t>DRIVER 70</t>
  </si>
  <si>
    <t>DRIVER 71</t>
  </si>
  <si>
    <t>DRIVER 72</t>
  </si>
  <si>
    <t>DRIVER 73</t>
  </si>
  <si>
    <t>DRIVER 74</t>
  </si>
  <si>
    <t>DRIVER 75</t>
  </si>
  <si>
    <t>DRIVER 76</t>
  </si>
  <si>
    <t>DRIVER 77</t>
  </si>
  <si>
    <t>DRIVER 78</t>
  </si>
  <si>
    <t>DRIVER 79</t>
  </si>
  <si>
    <t>DRIVER 80</t>
  </si>
  <si>
    <t>DRIVER 81</t>
  </si>
  <si>
    <t>DRIVER 82</t>
  </si>
  <si>
    <t>DRIVER 83</t>
  </si>
  <si>
    <t>DRIVER 84</t>
  </si>
  <si>
    <t>DRIVER 85</t>
  </si>
  <si>
    <t>DRIVER 86</t>
  </si>
  <si>
    <t>DRIVER 87</t>
  </si>
  <si>
    <t>DRIVER 88</t>
  </si>
  <si>
    <t>DRIVER 89</t>
  </si>
  <si>
    <t>DRIVER 90</t>
  </si>
  <si>
    <t>DRIVER 91</t>
  </si>
  <si>
    <t>DRIVER 92</t>
  </si>
  <si>
    <t>DRIVER 93</t>
  </si>
  <si>
    <t>DRIVER 94</t>
  </si>
  <si>
    <t>DRIVER 95</t>
  </si>
  <si>
    <t>DRIVER 96</t>
  </si>
  <si>
    <t>DRIVER 97</t>
  </si>
  <si>
    <t>DRIVER 98</t>
  </si>
  <si>
    <t>DRIVER 99</t>
  </si>
  <si>
    <t>DRIVER 100</t>
  </si>
  <si>
    <t>DRIVER 101</t>
  </si>
  <si>
    <t>DRIVER 102</t>
  </si>
  <si>
    <t>DRIVER 103</t>
  </si>
  <si>
    <t>DRIVER 104</t>
  </si>
  <si>
    <t>DRIVER 105</t>
  </si>
  <si>
    <t>DRIVER 106</t>
  </si>
  <si>
    <t>DRIVER 107</t>
  </si>
  <si>
    <t>DRIVER 108</t>
  </si>
  <si>
    <t>DRIVER 109</t>
  </si>
  <si>
    <t>DRIVER 110</t>
  </si>
  <si>
    <t>DRIVER 111</t>
  </si>
  <si>
    <t>DRIVER 112</t>
  </si>
  <si>
    <t>DRIVER 113</t>
  </si>
  <si>
    <t>DRIVER 114</t>
  </si>
  <si>
    <t>DRIVER 115</t>
  </si>
  <si>
    <t>DRIVER 116</t>
  </si>
  <si>
    <t>DRIVER 117</t>
  </si>
  <si>
    <t>DRIVER 118</t>
  </si>
  <si>
    <t>DRIVER 119</t>
  </si>
  <si>
    <t>DRIVER 120</t>
  </si>
  <si>
    <t>DRIVER 121</t>
  </si>
  <si>
    <t>DRIVER 122</t>
  </si>
  <si>
    <t>DRIVER 123</t>
  </si>
  <si>
    <t>DRIVER 124</t>
  </si>
  <si>
    <t>DRIVER 125</t>
  </si>
  <si>
    <t>DRIVER 126</t>
  </si>
  <si>
    <t>DRIVER 127</t>
  </si>
  <si>
    <t>DRIVER 128</t>
  </si>
  <si>
    <t>DRIVER 129</t>
  </si>
  <si>
    <t>DRIVER 130</t>
  </si>
  <si>
    <t>DRIVER 131</t>
  </si>
  <si>
    <t>DRIVER 132</t>
  </si>
  <si>
    <t>DRIVER 133</t>
  </si>
  <si>
    <t>DRIVER 134</t>
  </si>
  <si>
    <t>DRIVER 135</t>
  </si>
  <si>
    <t>DRIVER 136</t>
  </si>
  <si>
    <t>DRIVER 137</t>
  </si>
  <si>
    <t>DRIVER 138</t>
  </si>
  <si>
    <t>DRIVER 139</t>
  </si>
  <si>
    <t>DRIVER 140</t>
  </si>
  <si>
    <t>DRIVER 141</t>
  </si>
  <si>
    <t>DRIVER 142</t>
  </si>
  <si>
    <t>DRIVER 143</t>
  </si>
  <si>
    <t>DRIVER 144</t>
  </si>
  <si>
    <t>DRIVER 145</t>
  </si>
  <si>
    <t>DRIVER 146</t>
  </si>
  <si>
    <t>DRIVER 147</t>
  </si>
  <si>
    <t>DRIVER 148</t>
  </si>
  <si>
    <t>DRIVER 149</t>
  </si>
  <si>
    <t>DRIVER 150</t>
  </si>
  <si>
    <t>DRIVER 151</t>
  </si>
  <si>
    <t>DRIVER 152</t>
  </si>
  <si>
    <t>DRIVER 153</t>
  </si>
  <si>
    <t>DRIVER 154</t>
  </si>
  <si>
    <t>DRIVER 155</t>
  </si>
  <si>
    <t>DRIVER 156</t>
  </si>
  <si>
    <t>DRIVER 157</t>
  </si>
  <si>
    <t>DRIVER 158</t>
  </si>
  <si>
    <t>DRIVER 159</t>
  </si>
  <si>
    <t>DRIVER 160</t>
  </si>
  <si>
    <t>DRIVER 161</t>
  </si>
  <si>
    <t>DRIVER 162</t>
  </si>
  <si>
    <t>DRIVER 163</t>
  </si>
  <si>
    <t>DRIVER 164</t>
  </si>
  <si>
    <t>DRIVER 165</t>
  </si>
  <si>
    <t>DRIVER 166</t>
  </si>
  <si>
    <t>DRIVER 167</t>
  </si>
  <si>
    <t>DRIVER 168</t>
  </si>
  <si>
    <t>DRIVER 169</t>
  </si>
  <si>
    <t>DRIVER 170</t>
  </si>
  <si>
    <t>DRIVER 171</t>
  </si>
  <si>
    <t>DRIVER 172</t>
  </si>
  <si>
    <t>DRIVER 173</t>
  </si>
  <si>
    <t>DRIVER 174</t>
  </si>
  <si>
    <t>DRIVER 175</t>
  </si>
  <si>
    <t>DRIVER 176</t>
  </si>
  <si>
    <t>DRIVER 177</t>
  </si>
  <si>
    <t>DRIVER 178</t>
  </si>
  <si>
    <t>DRIVER 179</t>
  </si>
  <si>
    <t>DRIVER 180</t>
  </si>
  <si>
    <t>DRIVER 181</t>
  </si>
  <si>
    <t>DRIVER 182</t>
  </si>
  <si>
    <t>DRIVER 183</t>
  </si>
  <si>
    <t>DRIVER 184</t>
  </si>
  <si>
    <t>DRIVER 185</t>
  </si>
  <si>
    <t>DRIVER 186</t>
  </si>
  <si>
    <t>DRIVER 187</t>
  </si>
  <si>
    <t>DRIVER 188</t>
  </si>
  <si>
    <t>DRIVER 189</t>
  </si>
  <si>
    <t>DRIVER 190</t>
  </si>
  <si>
    <t>DRIVER 191</t>
  </si>
  <si>
    <t>DRIVER 192</t>
  </si>
  <si>
    <t>DRIVER 193</t>
  </si>
  <si>
    <t>DRIVER 194</t>
  </si>
  <si>
    <t>DRIVER 195</t>
  </si>
  <si>
    <t>DRIVER 196</t>
  </si>
  <si>
    <t>DRIVER 197</t>
  </si>
  <si>
    <t>DRIVER 198</t>
  </si>
  <si>
    <t>DRIVER 199</t>
  </si>
  <si>
    <t>DRIVER 200</t>
  </si>
  <si>
    <t>DRIVER 201</t>
  </si>
  <si>
    <t>DRIVER 202</t>
  </si>
  <si>
    <t>DRIVER 203</t>
  </si>
  <si>
    <t>DRIVER 204</t>
  </si>
  <si>
    <t>DRIVER 205</t>
  </si>
  <si>
    <t>DRIVER 206</t>
  </si>
  <si>
    <t>DRIVER 207</t>
  </si>
  <si>
    <t>DRIVER 208</t>
  </si>
  <si>
    <t>DRIVER 209</t>
  </si>
  <si>
    <t>DRIVER 210</t>
  </si>
  <si>
    <t>DRIVER 211</t>
  </si>
  <si>
    <t>DRIVER 212</t>
  </si>
  <si>
    <t>DRIVER 213</t>
  </si>
  <si>
    <t>DRIVER 214</t>
  </si>
  <si>
    <t>DRIVER 215</t>
  </si>
  <si>
    <t>DRIVER 216</t>
  </si>
  <si>
    <t>DRIVER 217</t>
  </si>
  <si>
    <t>DRIVER 218</t>
  </si>
  <si>
    <t>DRIVER 219</t>
  </si>
  <si>
    <t>DRIVER 220</t>
  </si>
  <si>
    <t>DRIVER 221</t>
  </si>
  <si>
    <t>DRIVER 222</t>
  </si>
  <si>
    <t>DRIVER 223</t>
  </si>
  <si>
    <t>DRIVER 224</t>
  </si>
  <si>
    <t>DRIVER 225</t>
  </si>
  <si>
    <t>DRIVER 226</t>
  </si>
  <si>
    <t>DRIVER 227</t>
  </si>
  <si>
    <t>DRIVER 228</t>
  </si>
  <si>
    <t>DRIVER 229</t>
  </si>
  <si>
    <t>DRIVER 230</t>
  </si>
  <si>
    <t>DRIVER 231</t>
  </si>
  <si>
    <t>DRIVER 232</t>
  </si>
  <si>
    <t>DRIVER 233</t>
  </si>
  <si>
    <t>DRIVER 234</t>
  </si>
  <si>
    <t>DRIVER 235</t>
  </si>
  <si>
    <t>DRIVER 236</t>
  </si>
  <si>
    <t>DRIVER 237</t>
  </si>
  <si>
    <t>DRIVER 238</t>
  </si>
  <si>
    <t>DRIVER 239</t>
  </si>
  <si>
    <t>DRIVER 240</t>
  </si>
  <si>
    <t>DRIVER 241</t>
  </si>
  <si>
    <t>DRIVER 242</t>
  </si>
  <si>
    <t>DRIVER 243</t>
  </si>
  <si>
    <t>DRIVER 244</t>
  </si>
  <si>
    <t>DRIVER 245</t>
  </si>
  <si>
    <t>DRIVER 246</t>
  </si>
  <si>
    <t>DRIVER 247</t>
  </si>
  <si>
    <t>DRIVER 248</t>
  </si>
  <si>
    <t>DRIVER 249</t>
  </si>
  <si>
    <t>DRIVER 250</t>
  </si>
  <si>
    <t>DRIVER 251</t>
  </si>
  <si>
    <t>DRIVER 252</t>
  </si>
  <si>
    <t>DRIVER 253</t>
  </si>
  <si>
    <t>DRIVER 254</t>
  </si>
  <si>
    <t>DRIVER 255</t>
  </si>
  <si>
    <t>DRIVER 256</t>
  </si>
  <si>
    <t>DRIVER 257</t>
  </si>
  <si>
    <t>DRIVER 258</t>
  </si>
  <si>
    <t>DRIVER 259</t>
  </si>
  <si>
    <t>DRIVER 260</t>
  </si>
  <si>
    <t>DRIVER 261</t>
  </si>
  <si>
    <t>DRIVER 262</t>
  </si>
  <si>
    <t>DRIVER 263</t>
  </si>
  <si>
    <t>DRIVER 264</t>
  </si>
  <si>
    <t>DRIVER 265</t>
  </si>
  <si>
    <t>DRIVER 266</t>
  </si>
  <si>
    <t>DRIVER 267</t>
  </si>
  <si>
    <t>DRIVER 268</t>
  </si>
  <si>
    <t>DRIVER 269</t>
  </si>
  <si>
    <t>DRIVER 270</t>
  </si>
  <si>
    <t>DRIVER 271</t>
  </si>
  <si>
    <t>DRIVER 272</t>
  </si>
  <si>
    <t>DRIVER 273</t>
  </si>
  <si>
    <t>DRIVER 274</t>
  </si>
  <si>
    <t>DRIVER 275</t>
  </si>
  <si>
    <t>DRIVER 276</t>
  </si>
  <si>
    <t>DRIVER 277</t>
  </si>
  <si>
    <t>DRIVER 278</t>
  </si>
  <si>
    <t>DRIVER 279</t>
  </si>
  <si>
    <t>DRIVER 280</t>
  </si>
  <si>
    <t>DRIVER 281</t>
  </si>
  <si>
    <t>DRIVER 282</t>
  </si>
  <si>
    <t>DRIVER 283</t>
  </si>
  <si>
    <t>DRIVER 284</t>
  </si>
  <si>
    <t>DRIVER 285</t>
  </si>
  <si>
    <t>DRIVER 286</t>
  </si>
  <si>
    <t>DRIVER 287</t>
  </si>
  <si>
    <t>DRIVER 288</t>
  </si>
  <si>
    <t>DRIVER 289</t>
  </si>
  <si>
    <t>DRIVER 290</t>
  </si>
  <si>
    <t>DRIVER 291</t>
  </si>
  <si>
    <t>DRIVER 292</t>
  </si>
  <si>
    <t>DRIVER 293</t>
  </si>
  <si>
    <t>DRIVER 294</t>
  </si>
  <si>
    <t>DRIVER 295</t>
  </si>
  <si>
    <t>DRIVER 296</t>
  </si>
  <si>
    <t>DRIVER 297</t>
  </si>
  <si>
    <t>DRIVER 298</t>
  </si>
  <si>
    <t>DRIVER 299</t>
  </si>
  <si>
    <t>DRIVER 300</t>
  </si>
  <si>
    <t>DRIVER 301</t>
  </si>
  <si>
    <t>DRIVER 302</t>
  </si>
  <si>
    <t>DRIVER 303</t>
  </si>
  <si>
    <t>DRIVER 304</t>
  </si>
  <si>
    <t>DRIVER 305</t>
  </si>
  <si>
    <t>DRIVER 306</t>
  </si>
  <si>
    <t>DRIVER 307</t>
  </si>
  <si>
    <t>DRIVER 308</t>
  </si>
  <si>
    <t>DRIVER 309</t>
  </si>
  <si>
    <t>DRIVER 310</t>
  </si>
  <si>
    <t>DRIVER 311</t>
  </si>
  <si>
    <t>DRIVER 312</t>
  </si>
  <si>
    <t>DRIVER 313</t>
  </si>
  <si>
    <t>DRIVER 314</t>
  </si>
  <si>
    <t>DRIVER 315</t>
  </si>
  <si>
    <t>DRIVER 316</t>
  </si>
  <si>
    <t>DRIVER 317</t>
  </si>
  <si>
    <t>DRIVER 318</t>
  </si>
  <si>
    <t>DRIVER 319</t>
  </si>
  <si>
    <t>DRIVER 320</t>
  </si>
  <si>
    <t>DRIVER 321</t>
  </si>
  <si>
    <t>DRIVER 322</t>
  </si>
  <si>
    <t>DRIVER 323</t>
  </si>
  <si>
    <t>DRIVER 324</t>
  </si>
  <si>
    <t>DRIVER 325</t>
  </si>
  <si>
    <t>DRIVER 326</t>
  </si>
  <si>
    <t>DRIVER 327</t>
  </si>
  <si>
    <t>DRIVER 328</t>
  </si>
  <si>
    <t>DRIVER 329</t>
  </si>
  <si>
    <t>DRIVER 330</t>
  </si>
  <si>
    <t>DRIVER 331</t>
  </si>
  <si>
    <t>DRIVER 332</t>
  </si>
  <si>
    <t>DRIVER 333</t>
  </si>
  <si>
    <t>DRIVER 334</t>
  </si>
  <si>
    <t>DRIVER 335</t>
  </si>
  <si>
    <t>DRIVER 336</t>
  </si>
  <si>
    <t>DRIVER 337</t>
  </si>
  <si>
    <t>DRIVER 338</t>
  </si>
  <si>
    <t>DRIVER 339</t>
  </si>
  <si>
    <t>DRIVER 340</t>
  </si>
  <si>
    <t>DRIVER 341</t>
  </si>
  <si>
    <t>DRIVER 342</t>
  </si>
  <si>
    <t>DRIVER 343</t>
  </si>
  <si>
    <t>DRIVER 344</t>
  </si>
  <si>
    <t>DRIVER 345</t>
  </si>
  <si>
    <t>DRIVER 346</t>
  </si>
  <si>
    <t>DRIVER 347</t>
  </si>
  <si>
    <t>DRIVER 348</t>
  </si>
  <si>
    <t>DRIVER 349</t>
  </si>
  <si>
    <t>DRIVER 350</t>
  </si>
  <si>
    <t>DRIVER 351</t>
  </si>
  <si>
    <t>DRIVER 352</t>
  </si>
  <si>
    <t>DRIVER 353</t>
  </si>
  <si>
    <t>DRIVER 354</t>
  </si>
  <si>
    <t>DRIVER 355</t>
  </si>
  <si>
    <t>DRIVER 356</t>
  </si>
  <si>
    <t>DRIVER 357</t>
  </si>
  <si>
    <t>DRIVER 358</t>
  </si>
  <si>
    <t>DRIVER 359</t>
  </si>
  <si>
    <t>DRIVER 360</t>
  </si>
  <si>
    <t>DRIVER 361</t>
  </si>
  <si>
    <t>DRIVER 362</t>
  </si>
  <si>
    <t>DRIVER 363</t>
  </si>
  <si>
    <t>DRIVER 364</t>
  </si>
  <si>
    <t>DRIVER 365</t>
  </si>
  <si>
    <t>DRIVER 366</t>
  </si>
  <si>
    <t>DRIVER 367</t>
  </si>
  <si>
    <t>DRIVER 368</t>
  </si>
  <si>
    <t>DRIVER 369</t>
  </si>
  <si>
    <t>DRIVER 370</t>
  </si>
  <si>
    <t>DRIVER 371</t>
  </si>
  <si>
    <t>DRIVER 372</t>
  </si>
  <si>
    <t>DRIVER 373</t>
  </si>
  <si>
    <t>DRIVER 374</t>
  </si>
  <si>
    <t>DRIVER 375</t>
  </si>
  <si>
    <t>DRIVER 376</t>
  </si>
  <si>
    <t>DRIVER 377</t>
  </si>
  <si>
    <t>DRIVER 378</t>
  </si>
  <si>
    <t>DRIVER 379</t>
  </si>
  <si>
    <t>DRIVER 380</t>
  </si>
  <si>
    <t>DRIVER 381</t>
  </si>
  <si>
    <t>DRIVER 382</t>
  </si>
  <si>
    <t>DRIVER 383</t>
  </si>
  <si>
    <t>DRIVER 384</t>
  </si>
  <si>
    <t>DRIVER 385</t>
  </si>
  <si>
    <t>DRIVER 386</t>
  </si>
  <si>
    <t>DRIVER 387</t>
  </si>
  <si>
    <t>DRIVER 388</t>
  </si>
  <si>
    <t>DRIVER 389</t>
  </si>
  <si>
    <t>DRIVER 390</t>
  </si>
  <si>
    <t>DRIVER 391</t>
  </si>
  <si>
    <t>DRIVER 392</t>
  </si>
  <si>
    <t>DRIVER 393</t>
  </si>
  <si>
    <t>DRIVER 394</t>
  </si>
  <si>
    <t>DRIVER 395</t>
  </si>
  <si>
    <t>DRIVER 396</t>
  </si>
  <si>
    <t>DRIVER 397</t>
  </si>
  <si>
    <t>DRIVER 398</t>
  </si>
  <si>
    <t>DRIVER 399</t>
  </si>
  <si>
    <t>DRIVER 400</t>
  </si>
  <si>
    <t>DRIVER 401</t>
  </si>
  <si>
    <t>DRIVER 402</t>
  </si>
  <si>
    <t>DRIVER 403</t>
  </si>
  <si>
    <t>DRIVER 404</t>
  </si>
  <si>
    <t>DRIVER 405</t>
  </si>
  <si>
    <t>DRIVER 406</t>
  </si>
  <si>
    <t>DRIVER 407</t>
  </si>
  <si>
    <t>DRIVER 408</t>
  </si>
  <si>
    <t>DRIVER 409</t>
  </si>
  <si>
    <t>DRIVER 410</t>
  </si>
  <si>
    <t>DRIVER 411</t>
  </si>
  <si>
    <t>DRIVER 412</t>
  </si>
  <si>
    <t>DRIVER 413</t>
  </si>
  <si>
    <t>DRIVER 414</t>
  </si>
  <si>
    <t>DRIVER 415</t>
  </si>
  <si>
    <t>DRIVER 416</t>
  </si>
  <si>
    <t>DRIVER 417</t>
  </si>
  <si>
    <t>DRIVER 418</t>
  </si>
  <si>
    <t>DRIVER 419</t>
  </si>
  <si>
    <t>DRIVER 420</t>
  </si>
  <si>
    <t>DRIVER 421</t>
  </si>
  <si>
    <t>DRIVER 422</t>
  </si>
  <si>
    <t>DRIVER 423</t>
  </si>
  <si>
    <t>DRIVER 424</t>
  </si>
  <si>
    <t>DRIVER 425</t>
  </si>
  <si>
    <t>DRIVER 426</t>
  </si>
  <si>
    <t>DRIVER 427</t>
  </si>
  <si>
    <t>DRIVER 428</t>
  </si>
  <si>
    <t>DRIVER 429</t>
  </si>
  <si>
    <t>DRIVER 430</t>
  </si>
  <si>
    <t>DRIVER 431</t>
  </si>
  <si>
    <t>DRIVER 432</t>
  </si>
  <si>
    <t>DRIVER 433</t>
  </si>
  <si>
    <t>DRIVER 434</t>
  </si>
  <si>
    <t>DRIVER 435</t>
  </si>
  <si>
    <t>DRIVER 436</t>
  </si>
  <si>
    <t>DRIVER 437</t>
  </si>
  <si>
    <t>DRIVER 438</t>
  </si>
  <si>
    <t>DRIVER 439</t>
  </si>
  <si>
    <t>DRIVER 440</t>
  </si>
  <si>
    <t>DRIVER 441</t>
  </si>
  <si>
    <t>DRIVER 442</t>
  </si>
  <si>
    <t>DRIVER 443</t>
  </si>
  <si>
    <t>DRIVER 444</t>
  </si>
  <si>
    <t>DRIVER 445</t>
  </si>
  <si>
    <t>DRIVER 446</t>
  </si>
  <si>
    <t>DRIVER 447</t>
  </si>
  <si>
    <t>DRIVER 448</t>
  </si>
  <si>
    <t>DRIVER 449</t>
  </si>
  <si>
    <t>DRIVER 450</t>
  </si>
  <si>
    <t>DRIVER 451</t>
  </si>
  <si>
    <t>DRIVER 452</t>
  </si>
  <si>
    <t>DRIVER 453</t>
  </si>
  <si>
    <t>DRIVER 454</t>
  </si>
  <si>
    <t>DRIVER 455</t>
  </si>
  <si>
    <t>DRIVER 456</t>
  </si>
  <si>
    <t>DRIVER 457</t>
  </si>
  <si>
    <t>DRIVER 458</t>
  </si>
  <si>
    <t>DRIVER 459</t>
  </si>
  <si>
    <t>DRIVER 460</t>
  </si>
  <si>
    <t>DRIVER 461</t>
  </si>
  <si>
    <t>DRIVER 462</t>
  </si>
  <si>
    <t>DRIVER 463</t>
  </si>
  <si>
    <t>DRIVER 464</t>
  </si>
  <si>
    <t>DRIVER 465</t>
  </si>
  <si>
    <t>DRIVER 466</t>
  </si>
  <si>
    <t>DRIVER 467</t>
  </si>
  <si>
    <t>DRIVER 468</t>
  </si>
  <si>
    <t>DRIVER 469</t>
  </si>
  <si>
    <t>DRIVER 470</t>
  </si>
  <si>
    <t>DRIVER 471</t>
  </si>
  <si>
    <t>DRIVER 472</t>
  </si>
  <si>
    <t>DRIVER 473</t>
  </si>
  <si>
    <t>DRIVER 474</t>
  </si>
  <si>
    <t>DRIVER 475</t>
  </si>
  <si>
    <t>DRIVER 476</t>
  </si>
  <si>
    <t>DRIVER 477</t>
  </si>
  <si>
    <t>DRIVER 478</t>
  </si>
  <si>
    <t>DRIVER 479</t>
  </si>
  <si>
    <t>DRIVER 480</t>
  </si>
  <si>
    <t>DRIVER 481</t>
  </si>
  <si>
    <t>DRIVER 482</t>
  </si>
  <si>
    <t>DRIVER 483</t>
  </si>
  <si>
    <t>DRIVER 484</t>
  </si>
  <si>
    <t>DRIVER 485</t>
  </si>
  <si>
    <t>DRIVER 486</t>
  </si>
  <si>
    <t>DRIVER 487</t>
  </si>
  <si>
    <t>DRIVER 488</t>
  </si>
  <si>
    <t>DRIVER 489</t>
  </si>
  <si>
    <t>DRIVER 490</t>
  </si>
  <si>
    <t>DRIVER 491</t>
  </si>
  <si>
    <t>DRIVER 492</t>
  </si>
  <si>
    <t>DRIVER 493</t>
  </si>
  <si>
    <t>DRIVER 494</t>
  </si>
  <si>
    <t>DRIVER 495</t>
  </si>
  <si>
    <t>DRIVER 496</t>
  </si>
  <si>
    <t>DRIVER 497</t>
  </si>
  <si>
    <t>DRIVER 498</t>
  </si>
  <si>
    <t>DRIVER 499</t>
  </si>
  <si>
    <t>DRIVER 500</t>
  </si>
  <si>
    <t>DRIVER 501</t>
  </si>
  <si>
    <t>DRIVER 502</t>
  </si>
  <si>
    <t>DRIVER 503</t>
  </si>
  <si>
    <t>DRIVER 504</t>
  </si>
  <si>
    <t>DRIVER 505</t>
  </si>
  <si>
    <t>DRIVER 506</t>
  </si>
  <si>
    <t>DRIVER 507</t>
  </si>
  <si>
    <t>DRIVER 508</t>
  </si>
  <si>
    <t>DRIVER 509</t>
  </si>
  <si>
    <t>DRIVER 510</t>
  </si>
  <si>
    <t>DRIVER 511</t>
  </si>
  <si>
    <t>DRIVER 512</t>
  </si>
  <si>
    <t>DRIVER 513</t>
  </si>
  <si>
    <t>DRIVER 514</t>
  </si>
  <si>
    <t>DRIVER 515</t>
  </si>
  <si>
    <t>DRIVER 516</t>
  </si>
  <si>
    <t>DRIVER 517</t>
  </si>
  <si>
    <t xml:space="preserve"> </t>
  </si>
  <si>
    <t>REDACTED</t>
  </si>
  <si>
    <t>252476917878</t>
  </si>
  <si>
    <t>996311852807</t>
  </si>
  <si>
    <t>380801175051</t>
  </si>
  <si>
    <t>844593829319</t>
  </si>
  <si>
    <t>330207932822</t>
  </si>
  <si>
    <t>278297087742</t>
  </si>
  <si>
    <t>186236525221</t>
  </si>
  <si>
    <t>452173502817</t>
  </si>
  <si>
    <t>794786855087</t>
  </si>
  <si>
    <t>698975692819</t>
  </si>
  <si>
    <t>136570791731930</t>
  </si>
  <si>
    <t>653527755101</t>
  </si>
  <si>
    <t>720789165181</t>
  </si>
  <si>
    <t>501671079036</t>
  </si>
  <si>
    <t>585184422812</t>
  </si>
  <si>
    <t>655184422812</t>
  </si>
  <si>
    <t>565265702820</t>
  </si>
  <si>
    <t>763630472820</t>
  </si>
  <si>
    <t>476250575215</t>
  </si>
  <si>
    <t>367325003841</t>
  </si>
  <si>
    <t>778168895257</t>
  </si>
  <si>
    <t>769553993841</t>
  </si>
  <si>
    <t>564729659290</t>
  </si>
  <si>
    <t>100664165260</t>
  </si>
  <si>
    <t>725521185297</t>
  </si>
  <si>
    <t>175645895009973</t>
  </si>
  <si>
    <t>870670715124</t>
  </si>
  <si>
    <t>775944702821</t>
  </si>
  <si>
    <t>544358442822</t>
  </si>
  <si>
    <t>849788562822</t>
  </si>
  <si>
    <t>747229495091</t>
  </si>
  <si>
    <t>928791425181</t>
  </si>
  <si>
    <t>313107575226</t>
  </si>
  <si>
    <t>638458925251</t>
  </si>
  <si>
    <t>516302921436</t>
  </si>
  <si>
    <t>115863175263</t>
  </si>
  <si>
    <t>154585012822</t>
  </si>
  <si>
    <t>970424155085</t>
  </si>
  <si>
    <t>676910645169</t>
  </si>
  <si>
    <t>284768604393</t>
  </si>
  <si>
    <t>606800815051</t>
  </si>
  <si>
    <t>462755779282</t>
  </si>
  <si>
    <t>408984665118</t>
  </si>
  <si>
    <t>868442145074</t>
  </si>
  <si>
    <t>921768653836</t>
  </si>
  <si>
    <t>763941570781</t>
  </si>
  <si>
    <t>667540535240</t>
  </si>
  <si>
    <t>924540555240</t>
  </si>
  <si>
    <t>732515104695167</t>
  </si>
  <si>
    <t>374938189169</t>
  </si>
  <si>
    <t>257588715223</t>
  </si>
  <si>
    <t>672724085047</t>
  </si>
  <si>
    <t>113588232822</t>
  </si>
  <si>
    <t>110188323842</t>
  </si>
  <si>
    <t>169969492821</t>
  </si>
  <si>
    <t>699480291742</t>
  </si>
  <si>
    <t>893131959224</t>
  </si>
  <si>
    <t>214668681154284</t>
  </si>
  <si>
    <t>255241382822</t>
  </si>
  <si>
    <t>897314769646</t>
  </si>
  <si>
    <t>167984282816</t>
  </si>
  <si>
    <t>117849169659</t>
  </si>
  <si>
    <t>114799892813</t>
  </si>
  <si>
    <t>660166949453</t>
  </si>
  <si>
    <t>510769537744</t>
  </si>
  <si>
    <t>275624912806</t>
  </si>
  <si>
    <t>433624922806</t>
  </si>
  <si>
    <t>831500335189</t>
  </si>
  <si>
    <t>901500335189</t>
  </si>
  <si>
    <t>833607419528</t>
  </si>
  <si>
    <t>844607419528</t>
  </si>
  <si>
    <t>899607419528</t>
  </si>
  <si>
    <t>576607529528</t>
  </si>
  <si>
    <t>359628375162</t>
  </si>
  <si>
    <t>753242937739</t>
  </si>
  <si>
    <t>781769835170</t>
  </si>
  <si>
    <t>339560555235</t>
  </si>
  <si>
    <t>331328295164</t>
  </si>
  <si>
    <t>915476405293</t>
  </si>
  <si>
    <t>59177982885319</t>
  </si>
  <si>
    <t>271517475293</t>
  </si>
  <si>
    <t>304286582822</t>
  </si>
  <si>
    <t>549885807744</t>
  </si>
  <si>
    <t>77138361009973</t>
  </si>
  <si>
    <t>404646951509973</t>
  </si>
  <si>
    <t>323763975284</t>
  </si>
  <si>
    <t>815834105130</t>
  </si>
  <si>
    <t>258148262825</t>
  </si>
  <si>
    <t>797217595266</t>
  </si>
  <si>
    <t>717480137744</t>
  </si>
  <si>
    <t>374119942823</t>
  </si>
  <si>
    <t>572464420119759</t>
  </si>
  <si>
    <t>271639533842</t>
  </si>
  <si>
    <t>411153593842</t>
  </si>
  <si>
    <t>729905362808</t>
  </si>
  <si>
    <t>130629855229</t>
  </si>
  <si>
    <t>610970385099</t>
  </si>
  <si>
    <t>241870829224</t>
  </si>
  <si>
    <t>495830742813</t>
  </si>
  <si>
    <t>639893865125</t>
  </si>
  <si>
    <t>840878022802</t>
  </si>
  <si>
    <t>167134532819</t>
  </si>
  <si>
    <t>610421805108</t>
  </si>
  <si>
    <t>910691705259</t>
  </si>
  <si>
    <t>940706182824</t>
  </si>
  <si>
    <t>300217505266</t>
  </si>
  <si>
    <t>428435222823</t>
  </si>
  <si>
    <t>963915437744</t>
  </si>
  <si>
    <t>990707115260</t>
  </si>
  <si>
    <t>916383853843</t>
  </si>
  <si>
    <t>398329525275</t>
  </si>
  <si>
    <t>156000001234</t>
  </si>
  <si>
    <t>705306007879</t>
  </si>
  <si>
    <t>302007932810</t>
  </si>
  <si>
    <t>378077609836</t>
  </si>
  <si>
    <t>886906961250</t>
  </si>
  <si>
    <t>726401142820</t>
  </si>
  <si>
    <t>304300697744</t>
  </si>
  <si>
    <t>903706867744</t>
  </si>
  <si>
    <t>165500251085385</t>
  </si>
  <si>
    <t>122280468841390</t>
  </si>
  <si>
    <t>279050451081</t>
  </si>
  <si>
    <t>960486352065</t>
  </si>
  <si>
    <t>674017688045390</t>
  </si>
  <si>
    <t>363451852043</t>
  </si>
  <si>
    <t>933461328023</t>
  </si>
  <si>
    <t>065203650165</t>
  </si>
  <si>
    <t>966820250165</t>
  </si>
  <si>
    <t>281820450165</t>
  </si>
  <si>
    <t>255003451809</t>
  </si>
  <si>
    <t>845362130835</t>
  </si>
  <si>
    <t>403422025077</t>
  </si>
  <si>
    <t>693076813841</t>
  </si>
  <si>
    <t>223407505073</t>
  </si>
  <si>
    <t>576700092823</t>
  </si>
  <si>
    <t>475322529800</t>
  </si>
  <si>
    <t>523941281000</t>
  </si>
  <si>
    <t>009818865227</t>
  </si>
  <si>
    <t>710732242824</t>
  </si>
  <si>
    <t>504309200823</t>
  </si>
  <si>
    <t>503280915275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</si>
</sst>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0000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10"/>
      <color indexed="8"/>
      <name val="Arial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/>
      <right style="mediumDashed">
        <color indexed="64"/>
      </right>
      <top style="medium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5" fillId="0" borderId="0">
      <alignment vertical="top"/>
    </xf>
  </cellStyleXfs>
  <cellXfs count="145">
    <xf numFmtId="0" fontId="0" fillId="0" borderId="0" xfId="0"/>
    <xf numFmtId="0" fontId="1" fillId="3" borderId="1" xfId="0" applyFont="1" applyFill="1" applyBorder="1" applyAlignment="1">
      <alignment horizontal="left"/>
    </xf>
    <xf numFmtId="0" fontId="8" fillId="2" borderId="9" xfId="0" applyFont="1" applyFill="1" applyBorder="1" applyAlignment="1">
      <alignment horizontal="right"/>
    </xf>
    <xf numFmtId="0" fontId="0" fillId="2" borderId="2" xfId="0" applyFont="1" applyFill="1" applyBorder="1" applyAlignment="1">
      <alignment horizontal="left"/>
    </xf>
    <xf numFmtId="0" fontId="0" fillId="2" borderId="5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right"/>
    </xf>
    <xf numFmtId="0" fontId="10" fillId="0" borderId="0" xfId="0" applyFont="1"/>
    <xf numFmtId="14" fontId="0" fillId="0" borderId="0" xfId="0" applyNumberFormat="1"/>
    <xf numFmtId="0" fontId="0" fillId="2" borderId="2" xfId="0" applyFont="1" applyFill="1" applyBorder="1" applyAlignment="1" applyProtection="1">
      <alignment horizontal="left"/>
    </xf>
    <xf numFmtId="0" fontId="0" fillId="2" borderId="3" xfId="0" applyFont="1" applyFill="1" applyBorder="1" applyAlignment="1" applyProtection="1">
      <alignment horizontal="left"/>
    </xf>
    <xf numFmtId="49" fontId="0" fillId="2" borderId="3" xfId="0" applyNumberFormat="1" applyFont="1" applyFill="1" applyBorder="1" applyProtection="1"/>
    <xf numFmtId="0" fontId="0" fillId="2" borderId="5" xfId="0" applyFont="1" applyFill="1" applyBorder="1" applyAlignment="1" applyProtection="1">
      <alignment horizontal="left"/>
    </xf>
    <xf numFmtId="0" fontId="0" fillId="2" borderId="0" xfId="0" applyFont="1" applyFill="1" applyBorder="1" applyAlignment="1" applyProtection="1">
      <alignment horizontal="left"/>
    </xf>
    <xf numFmtId="49" fontId="0" fillId="2" borderId="0" xfId="0" applyNumberFormat="1" applyFont="1" applyFill="1" applyBorder="1" applyProtection="1"/>
    <xf numFmtId="0" fontId="3" fillId="2" borderId="5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left"/>
    </xf>
    <xf numFmtId="49" fontId="4" fillId="2" borderId="0" xfId="0" applyNumberFormat="1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left"/>
    </xf>
    <xf numFmtId="0" fontId="5" fillId="2" borderId="0" xfId="0" applyFont="1" applyFill="1" applyBorder="1" applyAlignment="1" applyProtection="1">
      <alignment horizontal="left"/>
    </xf>
    <xf numFmtId="49" fontId="4" fillId="2" borderId="0" xfId="0" applyNumberFormat="1" applyFont="1" applyFill="1" applyBorder="1" applyProtection="1"/>
    <xf numFmtId="0" fontId="6" fillId="2" borderId="7" xfId="0" applyFont="1" applyFill="1" applyBorder="1" applyAlignment="1" applyProtection="1">
      <alignment horizontal="left"/>
    </xf>
    <xf numFmtId="0" fontId="6" fillId="2" borderId="8" xfId="0" applyFont="1" applyFill="1" applyBorder="1" applyAlignment="1" applyProtection="1">
      <alignment horizontal="left"/>
    </xf>
    <xf numFmtId="0" fontId="1" fillId="3" borderId="1" xfId="0" applyFont="1" applyFill="1" applyBorder="1" applyAlignment="1" applyProtection="1">
      <alignment horizontal="left" wrapText="1"/>
    </xf>
    <xf numFmtId="0" fontId="1" fillId="3" borderId="10" xfId="0" applyFont="1" applyFill="1" applyBorder="1" applyAlignment="1" applyProtection="1">
      <alignment horizontal="left" wrapText="1"/>
    </xf>
    <xf numFmtId="49" fontId="1" fillId="3" borderId="10" xfId="0" applyNumberFormat="1" applyFont="1" applyFill="1" applyBorder="1" applyAlignment="1" applyProtection="1">
      <alignment horizontal="left" wrapText="1"/>
    </xf>
    <xf numFmtId="14" fontId="1" fillId="3" borderId="10" xfId="0" applyNumberFormat="1" applyFont="1" applyFill="1" applyBorder="1" applyAlignment="1" applyProtection="1">
      <alignment horizontal="left" wrapText="1"/>
    </xf>
    <xf numFmtId="0" fontId="0" fillId="2" borderId="0" xfId="0" applyFont="1" applyFill="1" applyBorder="1" applyAlignment="1" applyProtection="1"/>
    <xf numFmtId="0" fontId="3" fillId="2" borderId="0" xfId="0" applyFont="1" applyFill="1" applyBorder="1" applyAlignment="1" applyProtection="1"/>
    <xf numFmtId="0" fontId="5" fillId="2" borderId="0" xfId="0" applyFont="1" applyFill="1" applyBorder="1" applyAlignment="1" applyProtection="1"/>
    <xf numFmtId="0" fontId="1" fillId="3" borderId="10" xfId="0" applyFont="1" applyFill="1" applyBorder="1" applyAlignment="1" applyProtection="1">
      <alignment wrapText="1"/>
    </xf>
    <xf numFmtId="0" fontId="0" fillId="2" borderId="2" xfId="0" applyFont="1" applyFill="1" applyBorder="1" applyAlignment="1" applyProtection="1"/>
    <xf numFmtId="14" fontId="0" fillId="2" borderId="3" xfId="0" applyNumberFormat="1" applyFont="1" applyFill="1" applyBorder="1" applyAlignment="1" applyProtection="1"/>
    <xf numFmtId="0" fontId="0" fillId="2" borderId="5" xfId="0" applyFont="1" applyFill="1" applyBorder="1" applyAlignment="1" applyProtection="1"/>
    <xf numFmtId="49" fontId="0" fillId="2" borderId="0" xfId="0" applyNumberFormat="1" applyFont="1" applyFill="1" applyBorder="1" applyAlignment="1" applyProtection="1"/>
    <xf numFmtId="14" fontId="0" fillId="2" borderId="0" xfId="0" applyNumberFormat="1" applyFont="1" applyFill="1" applyBorder="1" applyAlignment="1" applyProtection="1"/>
    <xf numFmtId="0" fontId="3" fillId="2" borderId="5" xfId="0" applyFont="1" applyFill="1" applyBorder="1" applyAlignment="1" applyProtection="1"/>
    <xf numFmtId="49" fontId="4" fillId="2" borderId="0" xfId="0" applyNumberFormat="1" applyFont="1" applyFill="1" applyBorder="1" applyAlignment="1" applyProtection="1"/>
    <xf numFmtId="14" fontId="4" fillId="2" borderId="0" xfId="0" applyNumberFormat="1" applyFont="1" applyFill="1" applyBorder="1" applyAlignment="1" applyProtection="1"/>
    <xf numFmtId="0" fontId="5" fillId="2" borderId="5" xfId="0" applyFont="1" applyFill="1" applyBorder="1" applyAlignment="1" applyProtection="1"/>
    <xf numFmtId="0" fontId="1" fillId="3" borderId="1" xfId="0" applyFont="1" applyFill="1" applyBorder="1" applyAlignment="1" applyProtection="1">
      <alignment wrapText="1"/>
    </xf>
    <xf numFmtId="49" fontId="1" fillId="3" borderId="10" xfId="0" applyNumberFormat="1" applyFont="1" applyFill="1" applyBorder="1" applyAlignment="1" applyProtection="1">
      <alignment wrapText="1"/>
    </xf>
    <xf numFmtId="14" fontId="1" fillId="3" borderId="10" xfId="0" applyNumberFormat="1" applyFont="1" applyFill="1" applyBorder="1" applyAlignment="1" applyProtection="1">
      <alignment wrapText="1"/>
    </xf>
    <xf numFmtId="0" fontId="0" fillId="0" borderId="0" xfId="0" applyAlignment="1">
      <alignment wrapText="1"/>
    </xf>
    <xf numFmtId="0" fontId="0" fillId="0" borderId="0" xfId="0" quotePrefix="1"/>
    <xf numFmtId="0" fontId="11" fillId="0" borderId="0" xfId="0" applyFont="1"/>
    <xf numFmtId="2" fontId="0" fillId="0" borderId="0" xfId="0" applyNumberFormat="1"/>
    <xf numFmtId="0" fontId="0" fillId="0" borderId="0" xfId="0" applyFont="1" applyAlignment="1" applyProtection="1">
      <protection locked="0"/>
    </xf>
    <xf numFmtId="0" fontId="0" fillId="0" borderId="0" xfId="0" applyFont="1" applyAlignment="1" applyProtection="1">
      <alignment wrapText="1"/>
      <protection locked="0"/>
    </xf>
    <xf numFmtId="14" fontId="0" fillId="0" borderId="0" xfId="0" applyNumberFormat="1" applyFont="1" applyAlignment="1" applyProtection="1">
      <protection locked="0"/>
    </xf>
    <xf numFmtId="49" fontId="0" fillId="0" borderId="0" xfId="0" applyNumberFormat="1" applyFont="1" applyAlignment="1" applyProtection="1"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Protection="1">
      <protection locked="0"/>
    </xf>
    <xf numFmtId="0" fontId="0" fillId="0" borderId="0" xfId="0" applyFont="1"/>
    <xf numFmtId="0" fontId="12" fillId="2" borderId="6" xfId="0" applyFont="1" applyFill="1" applyBorder="1" applyAlignment="1">
      <alignment horizontal="right"/>
    </xf>
    <xf numFmtId="0" fontId="13" fillId="3" borderId="1" xfId="0" applyFont="1" applyFill="1" applyBorder="1" applyAlignment="1">
      <alignment horizontal="left"/>
    </xf>
    <xf numFmtId="0" fontId="0" fillId="0" borderId="0" xfId="0" applyFont="1" applyAlignment="1">
      <alignment horizontal="center"/>
    </xf>
    <xf numFmtId="49" fontId="0" fillId="0" borderId="0" xfId="0" applyNumberFormat="1" applyFont="1"/>
    <xf numFmtId="14" fontId="0" fillId="0" borderId="0" xfId="0" applyNumberFormat="1" applyFont="1"/>
    <xf numFmtId="1" fontId="0" fillId="0" borderId="0" xfId="0" applyNumberFormat="1" applyFont="1"/>
    <xf numFmtId="14" fontId="3" fillId="2" borderId="0" xfId="0" applyNumberFormat="1" applyFont="1" applyFill="1" applyBorder="1" applyAlignment="1" applyProtection="1"/>
    <xf numFmtId="14" fontId="5" fillId="2" borderId="0" xfId="0" applyNumberFormat="1" applyFont="1" applyFill="1" applyBorder="1" applyAlignment="1" applyProtection="1"/>
    <xf numFmtId="14" fontId="6" fillId="2" borderId="3" xfId="0" applyNumberFormat="1" applyFont="1" applyFill="1" applyBorder="1" applyAlignment="1" applyProtection="1">
      <alignment horizontal="left"/>
    </xf>
    <xf numFmtId="0" fontId="6" fillId="2" borderId="3" xfId="0" applyFont="1" applyFill="1" applyBorder="1" applyAlignment="1" applyProtection="1">
      <alignment horizontal="right"/>
    </xf>
    <xf numFmtId="49" fontId="9" fillId="2" borderId="3" xfId="0" applyNumberFormat="1" applyFont="1" applyFill="1" applyBorder="1" applyAlignment="1" applyProtection="1">
      <alignment horizontal="left"/>
    </xf>
    <xf numFmtId="49" fontId="0" fillId="2" borderId="3" xfId="0" applyNumberFormat="1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</xf>
    <xf numFmtId="49" fontId="0" fillId="2" borderId="0" xfId="0" applyNumberFormat="1" applyFont="1" applyFill="1" applyBorder="1" applyAlignment="1" applyProtection="1">
      <alignment horizontal="left"/>
    </xf>
    <xf numFmtId="14" fontId="0" fillId="2" borderId="0" xfId="0" applyNumberFormat="1" applyFont="1" applyFill="1" applyBorder="1" applyAlignment="1" applyProtection="1">
      <alignment horizontal="left"/>
    </xf>
    <xf numFmtId="49" fontId="4" fillId="2" borderId="0" xfId="0" applyNumberFormat="1" applyFont="1" applyFill="1" applyBorder="1" applyAlignment="1" applyProtection="1">
      <alignment horizontal="left"/>
    </xf>
    <xf numFmtId="14" fontId="4" fillId="2" borderId="0" xfId="0" applyNumberFormat="1" applyFont="1" applyFill="1" applyBorder="1" applyAlignment="1" applyProtection="1">
      <alignment horizontal="left"/>
    </xf>
    <xf numFmtId="49" fontId="7" fillId="2" borderId="8" xfId="0" applyNumberFormat="1" applyFont="1" applyFill="1" applyBorder="1" applyAlignment="1" applyProtection="1">
      <alignment horizontal="left"/>
    </xf>
    <xf numFmtId="14" fontId="7" fillId="2" borderId="8" xfId="0" applyNumberFormat="1" applyFont="1" applyFill="1" applyBorder="1" applyAlignment="1" applyProtection="1">
      <alignment horizontal="left"/>
    </xf>
    <xf numFmtId="49" fontId="0" fillId="0" borderId="0" xfId="0" applyNumberFormat="1" applyFont="1" applyAlignment="1" applyProtection="1">
      <alignment horizontal="left"/>
      <protection locked="0"/>
    </xf>
    <xf numFmtId="14" fontId="0" fillId="0" borderId="0" xfId="0" applyNumberFormat="1" applyFont="1" applyAlignment="1" applyProtection="1">
      <alignment horizontal="left"/>
      <protection locked="0"/>
    </xf>
    <xf numFmtId="164" fontId="0" fillId="2" borderId="3" xfId="0" applyNumberFormat="1" applyFont="1" applyFill="1" applyBorder="1" applyAlignment="1" applyProtection="1">
      <alignment horizontal="left"/>
    </xf>
    <xf numFmtId="164" fontId="0" fillId="2" borderId="0" xfId="0" applyNumberFormat="1" applyFont="1" applyFill="1" applyBorder="1" applyAlignment="1" applyProtection="1">
      <alignment horizontal="left"/>
    </xf>
    <xf numFmtId="164" fontId="4" fillId="2" borderId="0" xfId="0" applyNumberFormat="1" applyFont="1" applyFill="1" applyBorder="1" applyAlignment="1" applyProtection="1">
      <alignment horizontal="left"/>
    </xf>
    <xf numFmtId="164" fontId="7" fillId="2" borderId="8" xfId="0" applyNumberFormat="1" applyFont="1" applyFill="1" applyBorder="1" applyAlignment="1" applyProtection="1">
      <alignment horizontal="left"/>
    </xf>
    <xf numFmtId="164" fontId="1" fillId="3" borderId="10" xfId="0" applyNumberFormat="1" applyFont="1" applyFill="1" applyBorder="1" applyAlignment="1" applyProtection="1">
      <alignment horizontal="left" wrapText="1"/>
    </xf>
    <xf numFmtId="164" fontId="0" fillId="0" borderId="0" xfId="0" applyNumberFormat="1" applyFont="1" applyAlignment="1" applyProtection="1">
      <alignment horizontal="left"/>
      <protection locked="0"/>
    </xf>
    <xf numFmtId="49" fontId="0" fillId="2" borderId="11" xfId="0" applyNumberFormat="1" applyFont="1" applyFill="1" applyBorder="1" applyProtection="1"/>
    <xf numFmtId="0" fontId="0" fillId="2" borderId="12" xfId="0" applyFont="1" applyFill="1" applyBorder="1" applyProtection="1"/>
    <xf numFmtId="49" fontId="0" fillId="2" borderId="13" xfId="0" applyNumberFormat="1" applyFont="1" applyFill="1" applyBorder="1" applyProtection="1"/>
    <xf numFmtId="0" fontId="0" fillId="2" borderId="14" xfId="0" applyFont="1" applyFill="1" applyBorder="1" applyProtection="1"/>
    <xf numFmtId="49" fontId="4" fillId="2" borderId="13" xfId="0" applyNumberFormat="1" applyFont="1" applyFill="1" applyBorder="1" applyAlignment="1" applyProtection="1">
      <alignment horizontal="center"/>
    </xf>
    <xf numFmtId="0" fontId="4" fillId="2" borderId="14" xfId="0" applyFont="1" applyFill="1" applyBorder="1" applyProtection="1"/>
    <xf numFmtId="49" fontId="4" fillId="2" borderId="13" xfId="0" applyNumberFormat="1" applyFont="1" applyFill="1" applyBorder="1" applyProtection="1"/>
    <xf numFmtId="14" fontId="10" fillId="2" borderId="3" xfId="0" applyNumberFormat="1" applyFont="1" applyFill="1" applyBorder="1" applyAlignment="1" applyProtection="1">
      <alignment horizontal="left"/>
    </xf>
    <xf numFmtId="14" fontId="0" fillId="0" borderId="0" xfId="0" applyNumberFormat="1" applyFont="1" applyProtection="1">
      <protection locked="0"/>
    </xf>
    <xf numFmtId="14" fontId="14" fillId="2" borderId="0" xfId="0" applyNumberFormat="1" applyFont="1" applyFill="1" applyBorder="1" applyAlignment="1" applyProtection="1"/>
    <xf numFmtId="49" fontId="0" fillId="0" borderId="0" xfId="0" applyNumberFormat="1"/>
    <xf numFmtId="0" fontId="0" fillId="0" borderId="0" xfId="0" applyNumberFormat="1"/>
    <xf numFmtId="14" fontId="1" fillId="3" borderId="1" xfId="0" applyNumberFormat="1" applyFont="1" applyFill="1" applyBorder="1" applyAlignment="1" applyProtection="1">
      <alignment wrapText="1"/>
    </xf>
    <xf numFmtId="14" fontId="0" fillId="2" borderId="4" xfId="0" applyNumberFormat="1" applyFont="1" applyFill="1" applyBorder="1" applyProtection="1"/>
    <xf numFmtId="14" fontId="0" fillId="2" borderId="6" xfId="0" applyNumberFormat="1" applyFont="1" applyFill="1" applyBorder="1" applyProtection="1"/>
    <xf numFmtId="14" fontId="4" fillId="2" borderId="6" xfId="0" applyNumberFormat="1" applyFont="1" applyFill="1" applyBorder="1" applyProtection="1"/>
    <xf numFmtId="0" fontId="6" fillId="2" borderId="7" xfId="0" applyFont="1" applyFill="1" applyBorder="1" applyAlignment="1" applyProtection="1"/>
    <xf numFmtId="0" fontId="6" fillId="2" borderId="8" xfId="0" applyFont="1" applyFill="1" applyBorder="1" applyAlignment="1" applyProtection="1"/>
    <xf numFmtId="0" fontId="5" fillId="2" borderId="8" xfId="0" applyFont="1" applyFill="1" applyBorder="1" applyAlignment="1" applyProtection="1"/>
    <xf numFmtId="14" fontId="5" fillId="2" borderId="8" xfId="0" applyNumberFormat="1" applyFont="1" applyFill="1" applyBorder="1" applyAlignment="1" applyProtection="1"/>
    <xf numFmtId="49" fontId="7" fillId="2" borderId="8" xfId="0" applyNumberFormat="1" applyFont="1" applyFill="1" applyBorder="1" applyAlignment="1" applyProtection="1"/>
    <xf numFmtId="14" fontId="7" fillId="2" borderId="8" xfId="0" applyNumberFormat="1" applyFont="1" applyFill="1" applyBorder="1" applyAlignment="1" applyProtection="1"/>
    <xf numFmtId="49" fontId="7" fillId="2" borderId="8" xfId="0" applyNumberFormat="1" applyFont="1" applyFill="1" applyBorder="1" applyAlignment="1" applyProtection="1">
      <alignment horizontal="center"/>
    </xf>
    <xf numFmtId="0" fontId="12" fillId="2" borderId="15" xfId="0" applyFont="1" applyFill="1" applyBorder="1" applyAlignment="1" applyProtection="1">
      <alignment horizontal="right"/>
    </xf>
    <xf numFmtId="14" fontId="12" fillId="2" borderId="9" xfId="0" applyNumberFormat="1" applyFont="1" applyFill="1" applyBorder="1" applyAlignment="1" applyProtection="1">
      <alignment horizontal="right"/>
    </xf>
    <xf numFmtId="49" fontId="0" fillId="2" borderId="4" xfId="0" applyNumberFormat="1" applyFont="1" applyFill="1" applyBorder="1" applyAlignment="1"/>
    <xf numFmtId="49" fontId="0" fillId="2" borderId="6" xfId="0" applyNumberFormat="1" applyFont="1" applyFill="1" applyBorder="1" applyAlignment="1"/>
    <xf numFmtId="49" fontId="9" fillId="2" borderId="3" xfId="0" applyNumberFormat="1" applyFont="1" applyFill="1" applyBorder="1" applyAlignment="1" applyProtection="1"/>
    <xf numFmtId="14" fontId="9" fillId="2" borderId="3" xfId="0" applyNumberFormat="1" applyFont="1" applyFill="1" applyBorder="1" applyAlignment="1" applyProtection="1"/>
    <xf numFmtId="0" fontId="9" fillId="2" borderId="3" xfId="0" applyNumberFormat="1" applyFont="1" applyFill="1" applyBorder="1" applyAlignment="1" applyProtection="1"/>
    <xf numFmtId="49" fontId="3" fillId="0" borderId="0" xfId="0" applyNumberFormat="1" applyFont="1" applyAlignment="1" applyProtection="1">
      <alignment horizontal="left"/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0" fontId="1" fillId="3" borderId="16" xfId="0" applyFont="1" applyFill="1" applyBorder="1" applyAlignment="1" applyProtection="1">
      <alignment wrapText="1"/>
    </xf>
    <xf numFmtId="0" fontId="1" fillId="3" borderId="17" xfId="0" applyFont="1" applyFill="1" applyBorder="1" applyAlignment="1" applyProtection="1">
      <alignment wrapText="1"/>
    </xf>
    <xf numFmtId="14" fontId="1" fillId="3" borderId="17" xfId="0" applyNumberFormat="1" applyFont="1" applyFill="1" applyBorder="1" applyAlignment="1" applyProtection="1">
      <alignment wrapText="1"/>
    </xf>
    <xf numFmtId="1" fontId="1" fillId="3" borderId="17" xfId="0" applyNumberFormat="1" applyFont="1" applyFill="1" applyBorder="1" applyAlignment="1" applyProtection="1">
      <alignment wrapText="1"/>
    </xf>
    <xf numFmtId="49" fontId="1" fillId="3" borderId="1" xfId="0" applyNumberFormat="1" applyFont="1" applyFill="1" applyBorder="1" applyAlignment="1" applyProtection="1">
      <alignment wrapText="1"/>
    </xf>
    <xf numFmtId="1" fontId="1" fillId="3" borderId="1" xfId="0" applyNumberFormat="1" applyFont="1" applyFill="1" applyBorder="1" applyAlignment="1" applyProtection="1">
      <alignment wrapText="1"/>
    </xf>
    <xf numFmtId="2" fontId="11" fillId="0" borderId="0" xfId="0" applyNumberFormat="1" applyFont="1"/>
    <xf numFmtId="2" fontId="0" fillId="0" borderId="0" xfId="0" quotePrefix="1" applyNumberFormat="1"/>
    <xf numFmtId="14" fontId="0" fillId="0" borderId="0" xfId="0" applyNumberFormat="1" applyFont="1" applyAlignment="1" applyProtection="1">
      <alignment wrapText="1"/>
      <protection locked="0"/>
    </xf>
    <xf numFmtId="1" fontId="1" fillId="3" borderId="10" xfId="0" applyNumberFormat="1" applyFont="1" applyFill="1" applyBorder="1" applyAlignment="1" applyProtection="1">
      <alignment horizontal="left" wrapText="1"/>
    </xf>
    <xf numFmtId="1" fontId="0" fillId="0" borderId="0" xfId="0" applyNumberFormat="1" applyFont="1" applyAlignment="1" applyProtection="1">
      <alignment horizontal="left"/>
      <protection locked="0"/>
    </xf>
    <xf numFmtId="1" fontId="0" fillId="2" borderId="4" xfId="0" applyNumberFormat="1" applyFont="1" applyFill="1" applyBorder="1" applyAlignment="1" applyProtection="1">
      <alignment horizontal="left"/>
    </xf>
    <xf numFmtId="1" fontId="0" fillId="2" borderId="6" xfId="0" applyNumberFormat="1" applyFont="1" applyFill="1" applyBorder="1" applyAlignment="1" applyProtection="1">
      <alignment horizontal="left"/>
    </xf>
    <xf numFmtId="1" fontId="4" fillId="2" borderId="6" xfId="0" applyNumberFormat="1" applyFont="1" applyFill="1" applyBorder="1" applyAlignment="1" applyProtection="1">
      <alignment horizontal="left"/>
    </xf>
    <xf numFmtId="1" fontId="12" fillId="2" borderId="9" xfId="0" applyNumberFormat="1" applyFont="1" applyFill="1" applyBorder="1" applyAlignment="1" applyProtection="1">
      <alignment horizontal="left"/>
    </xf>
    <xf numFmtId="49" fontId="9" fillId="2" borderId="3" xfId="0" applyNumberFormat="1" applyFont="1" applyFill="1" applyBorder="1" applyAlignment="1"/>
    <xf numFmtId="49" fontId="0" fillId="2" borderId="0" xfId="0" applyNumberFormat="1" applyFont="1" applyFill="1" applyBorder="1" applyAlignment="1"/>
    <xf numFmtId="49" fontId="0" fillId="2" borderId="0" xfId="0" applyNumberFormat="1" applyFont="1" applyFill="1" applyBorder="1"/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/>
    <xf numFmtId="49" fontId="7" fillId="2" borderId="8" xfId="0" applyNumberFormat="1" applyFont="1" applyFill="1" applyBorder="1" applyAlignment="1">
      <alignment horizontal="center"/>
    </xf>
    <xf numFmtId="49" fontId="1" fillId="3" borderId="10" xfId="0" applyNumberFormat="1" applyFont="1" applyFill="1" applyBorder="1" applyAlignment="1">
      <alignment horizontal="left"/>
    </xf>
    <xf numFmtId="49" fontId="7" fillId="2" borderId="18" xfId="0" applyNumberFormat="1" applyFont="1" applyFill="1" applyBorder="1" applyAlignment="1" applyProtection="1"/>
    <xf numFmtId="165" fontId="0" fillId="2" borderId="3" xfId="0" applyNumberFormat="1" applyFont="1" applyFill="1" applyBorder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4" fillId="2" borderId="0" xfId="0" applyNumberFormat="1" applyFont="1" applyFill="1" applyBorder="1" applyAlignment="1" applyProtection="1">
      <alignment horizontal="left"/>
    </xf>
    <xf numFmtId="165" fontId="4" fillId="2" borderId="8" xfId="0" applyNumberFormat="1" applyFont="1" applyFill="1" applyBorder="1" applyAlignment="1" applyProtection="1">
      <alignment horizontal="left"/>
    </xf>
    <xf numFmtId="165" fontId="16" fillId="3" borderId="10" xfId="0" applyNumberFormat="1" applyFont="1" applyFill="1" applyBorder="1" applyAlignment="1" applyProtection="1">
      <alignment horizontal="left" wrapText="1"/>
    </xf>
    <xf numFmtId="165" fontId="0" fillId="0" borderId="0" xfId="0" applyNumberFormat="1" applyFont="1" applyAlignment="1" applyProtection="1">
      <alignment horizontal="left"/>
      <protection locked="0"/>
    </xf>
  </cellXfs>
  <cellStyles count="2">
    <cellStyle name="Normal" xfId="0" builtinId="0"/>
    <cellStyle name="Normal 2" xfId="1" xr:uid="{8C384D18-D589-4020-AE9B-E966F5A13D8C}"/>
  </cellStyles>
  <dxfs count="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E587"/>
        </patternFill>
      </fill>
    </dxf>
    <dxf>
      <numFmt numFmtId="30" formatCode="@"/>
    </dxf>
    <dxf>
      <numFmt numFmtId="19" formatCode="m/d/yyyy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0" formatCode="General"/>
    </dxf>
    <dxf>
      <numFmt numFmtId="19" formatCode="m/d/yyyy"/>
    </dxf>
    <dxf>
      <numFmt numFmtId="30" formatCode="@"/>
    </dxf>
    <dxf>
      <numFmt numFmtId="19" formatCode="m/d/yyyy"/>
    </dxf>
    <dxf>
      <border outline="0">
        <top style="thin">
          <color auto="1"/>
        </top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&lt;=9999999]###\-####;\(###\)\ ###\-####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&lt;=9999999]###\-####;\(###\)\ ###\-####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9" defaultPivotStyle="PivotStyleLight16"/>
  <colors>
    <mruColors>
      <color rgb="FFA8001C"/>
      <color rgb="FFFFC7CE"/>
      <color rgb="FFFF9999"/>
      <color rgb="FFFF5050"/>
      <color rgb="FF9C001A"/>
      <color rgb="FFFFC1C8"/>
      <color rgb="FFFFC1D7"/>
      <color rgb="FFFFC1C1"/>
      <color rgb="FFFFBBC3"/>
      <color rgb="FFFFBB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Code 85's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101727052801685E-2"/>
          <c:y val="0.17171296296296296"/>
          <c:w val="0.66816287711227107"/>
          <c:h val="0.55861578497052522"/>
        </c:manualLayout>
      </c:layout>
      <c:lineChart>
        <c:grouping val="standard"/>
        <c:varyColors val="0"/>
        <c:ser>
          <c:idx val="0"/>
          <c:order val="0"/>
          <c:tx>
            <c:strRef>
              <c:f>Trends!$B$2</c:f>
              <c:strCache>
                <c:ptCount val="1"/>
                <c:pt idx="0">
                  <c:v>COMPANY1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Trends!$D$2:$P$2</c:f>
              <c:numCache>
                <c:formatCode>General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8-49A9-A4BA-B92D8EE6756A}"/>
            </c:ext>
          </c:extLst>
        </c:ser>
        <c:ser>
          <c:idx val="1"/>
          <c:order val="1"/>
          <c:tx>
            <c:strRef>
              <c:f>Trends!$B$3</c:f>
              <c:strCache>
                <c:ptCount val="1"/>
                <c:pt idx="0">
                  <c:v>COMPANY2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Trends!$D$3:$P$3</c:f>
              <c:numCache>
                <c:formatCode>General</c:formatCode>
                <c:ptCount val="13"/>
                <c:pt idx="0">
                  <c:v>0</c:v>
                </c:pt>
                <c:pt idx="1">
                  <c:v>15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C8-49A9-A4BA-B92D8EE6756A}"/>
            </c:ext>
          </c:extLst>
        </c:ser>
        <c:ser>
          <c:idx val="2"/>
          <c:order val="2"/>
          <c:tx>
            <c:strRef>
              <c:f>Trends!$B$4</c:f>
              <c:strCache>
                <c:ptCount val="1"/>
                <c:pt idx="0">
                  <c:v>COMPANY3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Trends!$D$4:$P$4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C8-49A9-A4BA-B92D8EE6756A}"/>
            </c:ext>
          </c:extLst>
        </c:ser>
        <c:ser>
          <c:idx val="3"/>
          <c:order val="3"/>
          <c:tx>
            <c:strRef>
              <c:f>Trends!$B$5</c:f>
              <c:strCache>
                <c:ptCount val="1"/>
                <c:pt idx="0">
                  <c:v>COMPANY4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Trends!$D$5:$P$5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C8-49A9-A4BA-B92D8EE6756A}"/>
            </c:ext>
          </c:extLst>
        </c:ser>
        <c:ser>
          <c:idx val="4"/>
          <c:order val="4"/>
          <c:tx>
            <c:strRef>
              <c:f>Trends!$B$6</c:f>
              <c:strCache>
                <c:ptCount val="1"/>
                <c:pt idx="0">
                  <c:v>COMPANY5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Trends!$D$6:$P$6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C8-49A9-A4BA-B92D8EE6756A}"/>
            </c:ext>
          </c:extLst>
        </c:ser>
        <c:ser>
          <c:idx val="5"/>
          <c:order val="5"/>
          <c:tx>
            <c:strRef>
              <c:f>Trends!$B$7</c:f>
              <c:strCache>
                <c:ptCount val="1"/>
                <c:pt idx="0">
                  <c:v>COMPANY6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Trends!$D$7:$P$7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C8-49A9-A4BA-B92D8EE6756A}"/>
            </c:ext>
          </c:extLst>
        </c:ser>
        <c:ser>
          <c:idx val="6"/>
          <c:order val="6"/>
          <c:tx>
            <c:strRef>
              <c:f>Trends!$B$8</c:f>
              <c:strCache>
                <c:ptCount val="1"/>
                <c:pt idx="0">
                  <c:v>COMPANY7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Trends!$D$8:$P$8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C8-49A9-A4BA-B92D8EE6756A}"/>
            </c:ext>
          </c:extLst>
        </c:ser>
        <c:ser>
          <c:idx val="7"/>
          <c:order val="7"/>
          <c:tx>
            <c:strRef>
              <c:f>Trends!$B$9</c:f>
              <c:strCache>
                <c:ptCount val="1"/>
                <c:pt idx="0">
                  <c:v>COMPANY8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Trends!$D$9:$P$9</c:f>
              <c:numCache>
                <c:formatCode>General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C8-49A9-A4BA-B92D8EE6756A}"/>
            </c:ext>
          </c:extLst>
        </c:ser>
        <c:ser>
          <c:idx val="8"/>
          <c:order val="8"/>
          <c:tx>
            <c:strRef>
              <c:f>Trends!$B$10</c:f>
              <c:strCache>
                <c:ptCount val="1"/>
                <c:pt idx="0">
                  <c:v>COMPANY9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Trends!$D$1:$P$1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Trends!$D$10:$P$10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1C8-49A9-A4BA-B92D8EE6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484880"/>
        <c:axId val="2044089968"/>
      </c:lineChart>
      <c:catAx>
        <c:axId val="31248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089968"/>
        <c:crosses val="autoZero"/>
        <c:auto val="1"/>
        <c:lblAlgn val="ctr"/>
        <c:lblOffset val="100"/>
        <c:noMultiLvlLbl val="0"/>
      </c:catAx>
      <c:valAx>
        <c:axId val="204408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8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367159161284616"/>
          <c:y val="0.10585517244210171"/>
          <c:w val="0.19385649827479426"/>
          <c:h val="0.795853445289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Code 8</a:t>
            </a:r>
            <a:r>
              <a:rPr lang="en-US" baseline="0"/>
              <a:t>5 Resolution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101727052801685E-2"/>
          <c:y val="0.17171296296296296"/>
          <c:w val="0.66816287711227107"/>
          <c:h val="0.55861578497052522"/>
        </c:manualLayout>
      </c:layout>
      <c:lineChart>
        <c:grouping val="standard"/>
        <c:varyColors val="0"/>
        <c:ser>
          <c:idx val="0"/>
          <c:order val="0"/>
          <c:tx>
            <c:strRef>
              <c:f>Trends!$B$15</c:f>
              <c:strCache>
                <c:ptCount val="1"/>
                <c:pt idx="0">
                  <c:v>COMPANY1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Trends!$D$15:$P$15</c:f>
              <c:numCache>
                <c:formatCode>0.00</c:formatCode>
                <c:ptCount val="13"/>
                <c:pt idx="0">
                  <c:v>0</c:v>
                </c:pt>
                <c:pt idx="1">
                  <c:v>7.2413793103448274</c:v>
                </c:pt>
                <c:pt idx="2">
                  <c:v>6.068965517241379</c:v>
                </c:pt>
                <c:pt idx="3">
                  <c:v>1.9310344827586208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2-4F8C-A86A-C79AFB6C84C6}"/>
            </c:ext>
          </c:extLst>
        </c:ser>
        <c:ser>
          <c:idx val="1"/>
          <c:order val="1"/>
          <c:tx>
            <c:strRef>
              <c:f>Trends!$B$16</c:f>
              <c:strCache>
                <c:ptCount val="1"/>
                <c:pt idx="0">
                  <c:v>COMPANY2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Trends!$D$16:$P$16</c:f>
              <c:numCache>
                <c:formatCode>0.00</c:formatCode>
                <c:ptCount val="13"/>
                <c:pt idx="0">
                  <c:v>0</c:v>
                </c:pt>
                <c:pt idx="1">
                  <c:v>25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72-4F8C-A86A-C79AFB6C84C6}"/>
            </c:ext>
          </c:extLst>
        </c:ser>
        <c:ser>
          <c:idx val="2"/>
          <c:order val="2"/>
          <c:tx>
            <c:strRef>
              <c:f>Trends!$B$17</c:f>
              <c:strCache>
                <c:ptCount val="1"/>
                <c:pt idx="0">
                  <c:v>COMPANY3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Trends!$D$17:$P$17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5.333333333333333</c:v>
                </c:pt>
                <c:pt idx="3">
                  <c:v>2.3333333333333335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72-4F8C-A86A-C79AFB6C84C6}"/>
            </c:ext>
          </c:extLst>
        </c:ser>
        <c:ser>
          <c:idx val="3"/>
          <c:order val="3"/>
          <c:tx>
            <c:strRef>
              <c:f>Trends!$B$18</c:f>
              <c:strCache>
                <c:ptCount val="1"/>
                <c:pt idx="0">
                  <c:v>COMPANY4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Trends!$D$18:$P$18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5.3636363636363633</c:v>
                </c:pt>
                <c:pt idx="3">
                  <c:v>2.4545454545454546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72-4F8C-A86A-C79AFB6C84C6}"/>
            </c:ext>
          </c:extLst>
        </c:ser>
        <c:ser>
          <c:idx val="4"/>
          <c:order val="4"/>
          <c:tx>
            <c:strRef>
              <c:f>Trends!$B$19</c:f>
              <c:strCache>
                <c:ptCount val="1"/>
                <c:pt idx="0">
                  <c:v>COMPANY5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Trends!$D$19:$P$19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1.3333333333333333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72-4F8C-A86A-C79AFB6C84C6}"/>
            </c:ext>
          </c:extLst>
        </c:ser>
        <c:ser>
          <c:idx val="5"/>
          <c:order val="5"/>
          <c:tx>
            <c:strRef>
              <c:f>Trends!$B$20</c:f>
              <c:strCache>
                <c:ptCount val="1"/>
                <c:pt idx="0">
                  <c:v>COMPANY6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Trends!$D$20:$P$20</c:f>
              <c:numCache>
                <c:formatCode>0.00</c:formatCode>
                <c:ptCount val="13"/>
                <c:pt idx="0">
                  <c:v>0</c:v>
                </c:pt>
                <c:pt idx="1">
                  <c:v>4.2857142857142856</c:v>
                </c:pt>
                <c:pt idx="2">
                  <c:v>0</c:v>
                </c:pt>
                <c:pt idx="3">
                  <c:v>0.7142857142857143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72-4F8C-A86A-C79AFB6C84C6}"/>
            </c:ext>
          </c:extLst>
        </c:ser>
        <c:ser>
          <c:idx val="6"/>
          <c:order val="6"/>
          <c:tx>
            <c:strRef>
              <c:f>Trends!$B$21</c:f>
              <c:strCache>
                <c:ptCount val="1"/>
                <c:pt idx="0">
                  <c:v>COMPANY7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Trends!$D$21:$P$21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4.7142857142857144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672-4F8C-A86A-C79AFB6C84C6}"/>
            </c:ext>
          </c:extLst>
        </c:ser>
        <c:ser>
          <c:idx val="7"/>
          <c:order val="7"/>
          <c:tx>
            <c:strRef>
              <c:f>Trends!$B$22</c:f>
              <c:strCache>
                <c:ptCount val="1"/>
                <c:pt idx="0">
                  <c:v>COMPANY8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Trends!$D$22:$P$22</c:f>
              <c:numCache>
                <c:formatCode>0.00</c:formatCode>
                <c:ptCount val="13"/>
                <c:pt idx="0">
                  <c:v>0</c:v>
                </c:pt>
                <c:pt idx="1">
                  <c:v>1.2105263157894737</c:v>
                </c:pt>
                <c:pt idx="2">
                  <c:v>2.8421052631578947</c:v>
                </c:pt>
                <c:pt idx="3">
                  <c:v>2.5263157894736841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72-4F8C-A86A-C79AFB6C84C6}"/>
            </c:ext>
          </c:extLst>
        </c:ser>
        <c:ser>
          <c:idx val="8"/>
          <c:order val="8"/>
          <c:tx>
            <c:strRef>
              <c:f>Trends!$B$23</c:f>
              <c:strCache>
                <c:ptCount val="1"/>
                <c:pt idx="0">
                  <c:v>COMPANY9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Trends!$D$14:$P$14</c:f>
              <c:strCache>
                <c:ptCount val="13"/>
                <c:pt idx="0">
                  <c:v>12 Months Ago</c:v>
                </c:pt>
                <c:pt idx="1">
                  <c:v>11 Months Ago</c:v>
                </c:pt>
                <c:pt idx="2">
                  <c:v>10 Months Ago</c:v>
                </c:pt>
                <c:pt idx="3">
                  <c:v>9 Months Ago</c:v>
                </c:pt>
                <c:pt idx="4">
                  <c:v>8 Months Ago</c:v>
                </c:pt>
                <c:pt idx="5">
                  <c:v>7 Months Ago</c:v>
                </c:pt>
                <c:pt idx="6">
                  <c:v>6 Months Ago</c:v>
                </c:pt>
                <c:pt idx="7">
                  <c:v>5 Months Ago</c:v>
                </c:pt>
                <c:pt idx="8">
                  <c:v>4 Months Ago</c:v>
                </c:pt>
                <c:pt idx="9">
                  <c:v>3 Months Ago</c:v>
                </c:pt>
                <c:pt idx="10">
                  <c:v>2 Months Ago</c:v>
                </c:pt>
                <c:pt idx="11">
                  <c:v>Prev Month</c:v>
                </c:pt>
                <c:pt idx="12">
                  <c:v>Current Month</c:v>
                </c:pt>
              </c:strCache>
            </c:strRef>
          </c:cat>
          <c:val>
            <c:numRef>
              <c:f>Trends!$D$23:$P$23</c:f>
              <c:numCache>
                <c:formatCode>0.00</c:formatCode>
                <c:ptCount val="13"/>
                <c:pt idx="0">
                  <c:v>0</c:v>
                </c:pt>
                <c:pt idx="1">
                  <c:v>2.1428571428571428</c:v>
                </c:pt>
                <c:pt idx="2">
                  <c:v>0</c:v>
                </c:pt>
                <c:pt idx="3">
                  <c:v>2.7142857142857144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672-4F8C-A86A-C79AFB6C8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484880"/>
        <c:axId val="2044089968"/>
      </c:lineChart>
      <c:catAx>
        <c:axId val="31248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089968"/>
        <c:crosses val="autoZero"/>
        <c:auto val="1"/>
        <c:lblAlgn val="ctr"/>
        <c:lblOffset val="100"/>
        <c:noMultiLvlLbl val="0"/>
      </c:catAx>
      <c:valAx>
        <c:axId val="204408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8488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367159161284616"/>
          <c:y val="0.10585517244210171"/>
          <c:w val="0.19385649827479426"/>
          <c:h val="0.795853445289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123825</xdr:rowOff>
        </xdr:from>
        <xdr:to>
          <xdr:col>0</xdr:col>
          <xdr:colOff>542925</xdr:colOff>
          <xdr:row>5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123825</xdr:rowOff>
        </xdr:from>
        <xdr:to>
          <xdr:col>1</xdr:col>
          <xdr:colOff>1000125</xdr:colOff>
          <xdr:row>3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38100</xdr:rowOff>
        </xdr:from>
        <xdr:to>
          <xdr:col>1</xdr:col>
          <xdr:colOff>1000125</xdr:colOff>
          <xdr:row>5</xdr:row>
          <xdr:rowOff>85725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85s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2</xdr:row>
          <xdr:rowOff>0</xdr:rowOff>
        </xdr:from>
        <xdr:to>
          <xdr:col>2</xdr:col>
          <xdr:colOff>2505075</xdr:colOff>
          <xdr:row>3</xdr:row>
          <xdr:rowOff>0</xdr:rowOff>
        </xdr:to>
        <xdr:sp macro="" textlink="">
          <xdr:nvSpPr>
            <xdr:cNvPr id="9220" name="AllVansBackCheckBox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 Vans are back tonight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</xdr:row>
          <xdr:rowOff>104775</xdr:rowOff>
        </xdr:from>
        <xdr:to>
          <xdr:col>1</xdr:col>
          <xdr:colOff>504825</xdr:colOff>
          <xdr:row>3</xdr:row>
          <xdr:rowOff>142875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Contractor/ WA#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114300</xdr:rowOff>
        </xdr:from>
        <xdr:to>
          <xdr:col>10</xdr:col>
          <xdr:colOff>504825</xdr:colOff>
          <xdr:row>3</xdr:row>
          <xdr:rowOff>152400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104775</xdr:rowOff>
        </xdr:from>
        <xdr:to>
          <xdr:col>4</xdr:col>
          <xdr:colOff>1181100</xdr:colOff>
          <xdr:row>3</xdr:row>
          <xdr:rowOff>142875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</xdr:row>
          <xdr:rowOff>104775</xdr:rowOff>
        </xdr:from>
        <xdr:to>
          <xdr:col>1</xdr:col>
          <xdr:colOff>695325</xdr:colOff>
          <xdr:row>3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Contractor/ WA#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114300</xdr:rowOff>
        </xdr:from>
        <xdr:to>
          <xdr:col>10</xdr:col>
          <xdr:colOff>1123950</xdr:colOff>
          <xdr:row>3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</xdr:row>
          <xdr:rowOff>114300</xdr:rowOff>
        </xdr:from>
        <xdr:to>
          <xdr:col>5</xdr:col>
          <xdr:colOff>790575</xdr:colOff>
          <xdr:row>3</xdr:row>
          <xdr:rowOff>152400</xdr:rowOff>
        </xdr:to>
        <xdr:sp macro="" textlink="">
          <xdr:nvSpPr>
            <xdr:cNvPr id="12294" name="cbxContractor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1143000</xdr:colOff>
          <xdr:row>1</xdr:row>
          <xdr:rowOff>104775</xdr:rowOff>
        </xdr:from>
        <xdr:to>
          <xdr:col>6</xdr:col>
          <xdr:colOff>238125</xdr:colOff>
          <xdr:row>3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 By Contractor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123825</xdr:colOff>
      <xdr:row>1</xdr:row>
      <xdr:rowOff>66675</xdr:rowOff>
    </xdr:from>
    <xdr:to>
      <xdr:col>27</xdr:col>
      <xdr:colOff>161925</xdr:colOff>
      <xdr:row>13</xdr:row>
      <xdr:rowOff>457199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</xdr:colOff>
          <xdr:row>0</xdr:row>
          <xdr:rowOff>85725</xdr:rowOff>
        </xdr:from>
        <xdr:to>
          <xdr:col>19</xdr:col>
          <xdr:colOff>123825</xdr:colOff>
          <xdr:row>0</xdr:row>
          <xdr:rowOff>514350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85725</xdr:colOff>
      <xdr:row>15</xdr:row>
      <xdr:rowOff>76200</xdr:rowOff>
    </xdr:from>
    <xdr:to>
      <xdr:col>27</xdr:col>
      <xdr:colOff>219075</xdr:colOff>
      <xdr:row>29</xdr:row>
      <xdr:rowOff>85724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47625</xdr:rowOff>
        </xdr:from>
        <xdr:to>
          <xdr:col>9</xdr:col>
          <xdr:colOff>0</xdr:colOff>
          <xdr:row>0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Contractor/ WA# Tool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F77267-100C-4B3C-92C3-015975819A99}" name="Outstanding" displayName="Outstanding" ref="A6:Q10" totalsRowShown="0" headerRowDxfId="88" dataDxfId="86" headerRowBorderDxfId="87" tableBorderDxfId="85">
  <autoFilter ref="A6:Q10" xr:uid="{EAB470EA-74B1-4FBF-9221-B65189040360}"/>
  <sortState xmlns:xlrd2="http://schemas.microsoft.com/office/spreadsheetml/2017/richdata2" ref="A7:Q10">
    <sortCondition ref="I6:I10"/>
  </sortState>
  <tableColumns count="17">
    <tableColumn id="1" xr3:uid="{3C9217D0-AA70-409B-9AD7-DAC0A21F3594}" name="WA#" dataDxfId="84"/>
    <tableColumn id="11" xr3:uid="{BB351E45-707B-4273-980F-7BBE24DA2464}" name="DRIVER NAME" dataDxfId="83"/>
    <tableColumn id="2" xr3:uid="{14E7D3B1-A801-4521-9079-49210968E0DF}" name="CONTRACTOR" dataDxfId="82"/>
    <tableColumn id="3" xr3:uid="{6835215D-4091-4A35-BD3A-655C641F1E44}" name="VALIDITY" dataDxfId="81"/>
    <tableColumn id="4" xr3:uid="{94EEDC66-6B6A-4261-A53D-C22C3E40C4D6}" name="RECIPIENT " dataDxfId="80"/>
    <tableColumn id="5" xr3:uid="{F3D8B933-CD53-4807-9D24-0BF58FD9CCBA}" name="ADDRESS" dataDxfId="79"/>
    <tableColumn id="6" xr3:uid="{8A80ED45-1203-4AC5-BA16-D401FE4A565C}" name="TRACKING ID" dataDxfId="78"/>
    <tableColumn id="7" xr3:uid="{A515CE8D-4E9C-4B42-ABF1-EE8D03A4FB18}" name="HANDSHEET ISSUE DATE" dataDxfId="77"/>
    <tableColumn id="8" xr3:uid="{13509D21-640D-4D19-94A2-DED8C204544E}" name="VANSCAN DATE" dataDxfId="76"/>
    <tableColumn id="9" xr3:uid="{18938F63-44D9-4690-AF08-CA692F45DD3C}" name="VAN #" dataDxfId="75"/>
    <tableColumn id="10" xr3:uid="{AB015520-3015-4365-B860-46754C2196E7}" name="COMMENTS" dataDxfId="74"/>
    <tableColumn id="12" xr3:uid="{66AB88AB-9C4B-4804-8E9F-AC5C23BE09BE}" name="SHIPPER" dataDxfId="73"/>
    <tableColumn id="13" xr3:uid="{5418D124-F7EA-4C09-B14C-DFDA5006E747}" name="SHIPPER PHONE#" dataDxfId="72"/>
    <tableColumn id="14" xr3:uid="{CF41CE12-C196-4DE8-B5F6-3E97FC02CE0B}" name="WEIGHT" dataDxfId="71"/>
    <tableColumn id="15" xr3:uid="{98A14D17-10E8-4827-B77F-646D693066AF}" name="PO NUMBER" dataDxfId="70"/>
    <tableColumn id="16" xr3:uid="{0781B12E-702B-4D58-91E2-7EFC56C8C571}" name="RECIPIENT PHONE#" dataDxfId="69"/>
    <tableColumn id="17" xr3:uid="{E00AF776-C55F-4A94-BD84-9032A317AAC6}" name="RESOLVE DATE" dataDxfId="6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7D7D62-E3A1-465B-BC3B-D7232241CE44}" name="Old85sTable" displayName="Old85sTable" ref="A2:J143" totalsRowShown="0" headerRowDxfId="67" headerRowBorderDxfId="66" tableBorderDxfId="65">
  <autoFilter ref="A2:J143" xr:uid="{4AC90B86-D29B-4E01-9DAB-CC98605A7459}"/>
  <sortState xmlns:xlrd2="http://schemas.microsoft.com/office/spreadsheetml/2017/richdata2" ref="A3:J143">
    <sortCondition ref="B2:B141"/>
  </sortState>
  <tableColumns count="10">
    <tableColumn id="1" xr3:uid="{A50D5590-5147-49DA-8A61-8A8569404EC2}" name="CONTRACTOR"/>
    <tableColumn id="9" xr3:uid="{C5C95768-7DF7-4233-9263-AD35F9C90592}" name="RESOLVE DATE" dataDxfId="64"/>
    <tableColumn id="2" xr3:uid="{1E68D229-DB99-4647-9097-A9506604AB2F}" name="RECIPIENT " dataDxfId="63"/>
    <tableColumn id="3" xr3:uid="{A592E9CE-D008-400C-9AEA-6ABC5D8E62E5}" name="ADDRESS" dataDxfId="9"/>
    <tableColumn id="4" xr3:uid="{67D26977-C9EF-4BBE-B540-2296218A3D14}" name="TRACKING ID" dataDxfId="7"/>
    <tableColumn id="5" xr3:uid="{7F826AD3-DE8A-4882-8B32-FEB9EF179392}" name="HANDSHEET ISSUE DATE" dataDxfId="8"/>
    <tableColumn id="6" xr3:uid="{89F6FEF0-1750-4B5F-BF80-793C373962A5}" name="VANSCAN DATE" dataDxfId="62"/>
    <tableColumn id="7" xr3:uid="{8F1C00EB-7E86-4FDE-ABB4-FCF402E2F4BC}" name="VAN #" dataDxfId="61"/>
    <tableColumn id="8" xr3:uid="{A425209D-9DCE-44CC-B51E-62109F816819}" name="COMMENTS"/>
    <tableColumn id="11" xr3:uid="{EC385C00-924A-49E6-890E-691D844717E7}" name="RESPONSE TIME" dataDxfId="60">
      <calculatedColumnFormula>MIN(Old85sTable[[#This Row],[RESOLVE DATE]]-Old85sTable[[#This Row],[HANDSHEET ISSUE DATE]],30)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564739-0945-48CA-9E25-DA3C08EB2352}" name="Trends" displayName="Trends" ref="A1:Q11" totalsRowCount="1" headerRowDxfId="59">
  <autoFilter ref="A1:Q10" xr:uid="{F97A6E32-590C-49B8-97A6-86BE3B0A5CD5}"/>
  <sortState xmlns:xlrd2="http://schemas.microsoft.com/office/spreadsheetml/2017/richdata2" ref="B2:C10">
    <sortCondition descending="1" ref="C1:C10"/>
  </sortState>
  <tableColumns count="17">
    <tableColumn id="16" xr3:uid="{FD6F2850-094F-42FB-BB6B-36DF01BA6849}" name="CSA" totalsRowLabel="ALL" dataDxfId="42"/>
    <tableColumn id="1" xr3:uid="{FE06EF1E-F9D5-4B85-9AD9-6D6D79378733}" name="CONTRACTOR" totalsRowLabel="ALL" dataDxfId="41"/>
    <tableColumn id="2" xr3:uid="{1C9E5523-841B-4D2E-A6E5-D60FE0E224AA}" name="Last 12 Months Total" totalsRowFunction="sum" dataDxfId="40">
      <calculatedColumnFormula>COUNTIFS(Old85sTable[CONTRACTOR],Trends[[#This Row],[CONTRACTOR]],Old85sTable[VANSCAN DATE],"&gt;"&amp;TODAY()-365)</calculatedColumnFormula>
    </tableColumn>
    <tableColumn id="15" xr3:uid="{984A2D48-A70C-4ECC-BB4E-1B6A2C9541BA}" name="12 Months Ago" totalsRowFunction="sum" dataDxfId="39">
      <calculatedColumnFormula array="1">SUMPRODUCT(1*(Old85sTable[CONTRACTOR]=Trends[[#This Row],[CONTRACTOR]]), 1*(DATE(YEAR(Old85sTable[VANSCAN DATE]),MONTH(Old85sTable[VANSCAN DATE]),1)=DATE(YEAR(TODAY()),MONTH(TODAY())-12, 1)))</calculatedColumnFormula>
    </tableColumn>
    <tableColumn id="14" xr3:uid="{667DEFC6-8DE1-480D-9113-30880A589469}" name="11 Months Ago" totalsRowFunction="sum" dataDxfId="38">
      <calculatedColumnFormula array="1">SUMPRODUCT(1*(Old85sTable[CONTRACTOR]=Trends[[#This Row],[CONTRACTOR]]), 1*(DATE(YEAR(Old85sTable[VANSCAN DATE]),MONTH(Old85sTable[VANSCAN DATE]),1)=DATE(YEAR(TODAY()),MONTH(TODAY())-11, 1)))</calculatedColumnFormula>
    </tableColumn>
    <tableColumn id="13" xr3:uid="{51E980FC-BAF8-4BC3-809C-0C12BD59E78E}" name="10 Months Ago" totalsRowFunction="sum" dataDxfId="37">
      <calculatedColumnFormula array="1">SUMPRODUCT(1*(Old85sTable[CONTRACTOR]=Trends[[#This Row],[CONTRACTOR]]), 1*(DATE(YEAR(Old85sTable[VANSCAN DATE]),MONTH(Old85sTable[VANSCAN DATE]),1)=DATE(YEAR(TODAY()),MONTH(TODAY())-10, 1)))</calculatedColumnFormula>
    </tableColumn>
    <tableColumn id="12" xr3:uid="{2E52C444-6621-4682-B4D0-772782205503}" name="9 Months Ago" totalsRowFunction="sum" dataDxfId="36">
      <calculatedColumnFormula array="1">SUMPRODUCT(1*(Old85sTable[CONTRACTOR]=Trends[[#This Row],[CONTRACTOR]]), 1*(DATE(YEAR(Old85sTable[VANSCAN DATE]),MONTH(Old85sTable[VANSCAN DATE]),1)=DATE(YEAR(TODAY()),MONTH(TODAY())-9, 1)))</calculatedColumnFormula>
    </tableColumn>
    <tableColumn id="11" xr3:uid="{08471601-09B5-40F2-8689-A8EF9B554813}" name="8 Months Ago" totalsRowFunction="sum" dataDxfId="35">
      <calculatedColumnFormula array="1">SUMPRODUCT(1*(Old85sTable[CONTRACTOR]=Trends[[#This Row],[CONTRACTOR]]), 1*(DATE(YEAR(Old85sTable[VANSCAN DATE]),MONTH(Old85sTable[VANSCAN DATE]),1)=DATE(YEAR(TODAY()),MONTH(TODAY())-8, 1)))</calculatedColumnFormula>
    </tableColumn>
    <tableColumn id="10" xr3:uid="{39F33F7C-7015-41B3-8D93-E279CA9E7B54}" name="7 Months Ago" totalsRowFunction="sum" dataDxfId="34">
      <calculatedColumnFormula array="1">SUMPRODUCT(1*(Old85sTable[CONTRACTOR]=Trends[[#This Row],[CONTRACTOR]]), 1*(DATE(YEAR(Old85sTable[VANSCAN DATE]),MONTH(Old85sTable[VANSCAN DATE]),1)=DATE(YEAR(TODAY()),MONTH(TODAY())-7, 1)))</calculatedColumnFormula>
    </tableColumn>
    <tableColumn id="9" xr3:uid="{233E1B5D-A6EF-46E6-8947-80C6E637BD10}" name="6 Months Ago" totalsRowFunction="sum" dataDxfId="33">
      <calculatedColumnFormula array="1">SUMPRODUCT(1*(Old85sTable[CONTRACTOR]=Trends[[#This Row],[CONTRACTOR]]), 1*(DATE(YEAR(Old85sTable[VANSCAN DATE]),MONTH(Old85sTable[VANSCAN DATE]),1)=DATE(YEAR(TODAY()),MONTH(TODAY())-6, 1)))</calculatedColumnFormula>
    </tableColumn>
    <tableColumn id="8" xr3:uid="{0BC84799-306D-42E4-B532-846C24B3D5AA}" name="5 Months Ago" totalsRowFunction="sum" dataDxfId="32">
      <calculatedColumnFormula array="1">SUMPRODUCT(1*(Old85sTable[CONTRACTOR]=Trends[[#This Row],[CONTRACTOR]]), 1*(DATE(YEAR(Old85sTable[VANSCAN DATE]),MONTH(Old85sTable[VANSCAN DATE]),1)=DATE(YEAR(TODAY()),MONTH(TODAY())-5, 1)))</calculatedColumnFormula>
    </tableColumn>
    <tableColumn id="7" xr3:uid="{73A8E4B5-E194-447C-83E2-9F213A635F27}" name="4 Months Ago" totalsRowFunction="sum" dataDxfId="31">
      <calculatedColumnFormula array="1">SUMPRODUCT(1*(Old85sTable[CONTRACTOR]=Trends[[#This Row],[CONTRACTOR]]), 1*(DATE(YEAR(Old85sTable[VANSCAN DATE]),MONTH(Old85sTable[VANSCAN DATE]),1)=DATE(YEAR(TODAY()),MONTH(TODAY())-4, 1)))</calculatedColumnFormula>
    </tableColumn>
    <tableColumn id="6" xr3:uid="{DEEC2A9C-BF54-4BDD-9DAB-FB7C4B3A69BE}" name="3 Months Ago" totalsRowFunction="sum" dataDxfId="30">
      <calculatedColumnFormula array="1">SUMPRODUCT(1*(Old85sTable[CONTRACTOR]=Trends[[#This Row],[CONTRACTOR]]), 1*(DATE(YEAR(Old85sTable[VANSCAN DATE]),MONTH(Old85sTable[VANSCAN DATE]),1)=DATE(YEAR(TODAY()),MONTH(TODAY())-3, 1)))</calculatedColumnFormula>
    </tableColumn>
    <tableColumn id="5" xr3:uid="{54589605-F861-4E74-9F86-0628760A2A0A}" name="2 Months Ago" totalsRowFunction="sum" dataDxfId="29">
      <calculatedColumnFormula array="1">SUMPRODUCT(1*(Old85sTable[CONTRACTOR]=Trends[[#This Row],[CONTRACTOR]]), 1*(DATE(YEAR(Old85sTable[VANSCAN DATE]),MONTH(Old85sTable[VANSCAN DATE]),1)=DATE(YEAR(TODAY()),MONTH(TODAY())-2, 1)))</calculatedColumnFormula>
    </tableColumn>
    <tableColumn id="4" xr3:uid="{7851A122-B957-4BC8-A1BE-D45329239C88}" name="Prev Month" totalsRowFunction="sum" dataDxfId="28">
      <calculatedColumnFormula array="1">SUMPRODUCT(1*(Old85sTable[CONTRACTOR]=Trends[[#This Row],[CONTRACTOR]]), 1*(DATE(YEAR(Old85sTable[VANSCAN DATE]),MONTH(Old85sTable[VANSCAN DATE]),1)=DATE(YEAR(TODAY()),MONTH(TODAY())-1, 1)))</calculatedColumnFormula>
    </tableColumn>
    <tableColumn id="3" xr3:uid="{66EB4805-EE50-4E82-945E-1D3B4F83D232}" name="Current Month" totalsRowFunction="sum" dataDxfId="27">
      <calculatedColumnFormula array="1">SUMPRODUCT(1*(Old85sTable[CONTRACTOR]=Trends[[#This Row],[CONTRACTOR]]), 1*(DATE(YEAR(Old85sTable[VANSCAN DATE]),MONTH(Old85sTable[VANSCAN DATE]),1)=DATE(YEAR(TODAY()),MONTH(TODAY())-0, 1))) + Trends[[#This Row],[Unresolved]]</calculatedColumnFormula>
    </tableColumn>
    <tableColumn id="17" xr3:uid="{94E39960-74B3-4C48-8D4E-71B041EEFA8F}" name="Unresolved" totalsRowFunction="sum" dataDxfId="26">
      <calculatedColumnFormula array="1">SUMPRODUCT(1*(Outstanding[CONTRACTOR]=Trends[[#This Row],[CONTRACTOR]]))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57A0E0E4-ECE0-4861-9E0B-630D86D4D35B}" name="Trends110" displayName="Trends110" ref="B14:Q24" totalsRowCount="1" headerRowDxfId="58">
  <autoFilter ref="B14:Q23" xr:uid="{0C734A87-9551-46DD-8B78-4613A7EBE565}"/>
  <sortState xmlns:xlrd2="http://schemas.microsoft.com/office/spreadsheetml/2017/richdata2" ref="B15:B23">
    <sortCondition descending="1" ref="B1:B10"/>
  </sortState>
  <tableColumns count="16">
    <tableColumn id="1" xr3:uid="{D18CC204-86BB-4073-B89D-465383A16464}" name="CONTRACTOR" totalsRowLabel="ALL" dataDxfId="25"/>
    <tableColumn id="2" xr3:uid="{938071F9-1372-4AE7-B307-3484BC8CB183}" name="Last 12 Months Average" totalsRowFunction="average" dataDxfId="57" totalsRowDxfId="24">
      <calculatedColumnFormula array="1">SUMPRODUCT(1*(Old85sTable[CONTRACTOR]=Trends110[[#This Row],[CONTRACTOR]]),1*(Old85sTable[VANSCAN DATE]&gt;TODAY()-365),Old85sTable[RESPONSE TIME])/SUMPRODUCT(1*(Old85sTable[CONTRACTOR]=Trends110[[#This Row],[CONTRACTOR]]))</calculatedColumnFormula>
    </tableColumn>
    <tableColumn id="15" xr3:uid="{97B73F9B-D0CE-4EC8-8797-4B289B2C2B11}" name="12 Months Ago" totalsRowFunction="average" dataDxfId="56" totalsRowDxfId="23">
      <calculatedColumnFormula array="1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calculatedColumnFormula>
    </tableColumn>
    <tableColumn id="14" xr3:uid="{D6E16E8E-6FDB-48E8-A07C-DA1A48A281DA}" name="11 Months Ago" totalsRowFunction="average" dataDxfId="55" totalsRowDxfId="22">
      <calculatedColumnFormula array="1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calculatedColumnFormula>
    </tableColumn>
    <tableColumn id="13" xr3:uid="{B54F73AA-F88B-415B-9C36-3A5E64BE4587}" name="10 Months Ago" totalsRowFunction="average" dataDxfId="54" totalsRowDxfId="21">
      <calculatedColumnFormula array="1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calculatedColumnFormula>
    </tableColumn>
    <tableColumn id="12" xr3:uid="{4CDDE980-90A9-4BC6-9101-EC90B23F137F}" name="9 Months Ago" totalsRowFunction="average" dataDxfId="53" totalsRowDxfId="20">
      <calculatedColumnFormula array="1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calculatedColumnFormula>
    </tableColumn>
    <tableColumn id="11" xr3:uid="{1EC14E68-5C58-4493-B9D2-D379748977F5}" name="8 Months Ago" totalsRowFunction="average" dataDxfId="52" totalsRowDxfId="19">
      <calculatedColumnFormula array="1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calculatedColumnFormula>
    </tableColumn>
    <tableColumn id="10" xr3:uid="{272D4EED-D326-4DCB-AB0F-BF0026A5A9C1}" name="7 Months Ago" totalsRowFunction="average" dataDxfId="51" totalsRowDxfId="18">
      <calculatedColumnFormula array="1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calculatedColumnFormula>
    </tableColumn>
    <tableColumn id="9" xr3:uid="{F1B35AF1-CBCE-4F9D-8813-EF0208467E6F}" name="6 Months Ago" totalsRowFunction="average" dataDxfId="50" totalsRowDxfId="17">
      <calculatedColumnFormula array="1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calculatedColumnFormula>
    </tableColumn>
    <tableColumn id="8" xr3:uid="{ACAC1332-124B-4819-BC90-7C0B56C743B6}" name="5 Months Ago" totalsRowFunction="average" dataDxfId="49" totalsRowDxfId="16">
      <calculatedColumnFormula array="1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calculatedColumnFormula>
    </tableColumn>
    <tableColumn id="7" xr3:uid="{92EB18E4-DE9A-4D7F-BEBE-38774345250C}" name="4 Months Ago" totalsRowFunction="average" dataDxfId="48" totalsRowDxfId="15">
      <calculatedColumnFormula array="1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calculatedColumnFormula>
    </tableColumn>
    <tableColumn id="6" xr3:uid="{BB1AC0AF-301E-4842-9B70-B6D5C00A7AB5}" name="3 Months Ago" totalsRowFunction="average" dataDxfId="47" totalsRowDxfId="14">
      <calculatedColumnFormula array="1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calculatedColumnFormula>
    </tableColumn>
    <tableColumn id="5" xr3:uid="{BA888BC1-AA40-45E5-A9AA-76142F0CBA37}" name="2 Months Ago" totalsRowFunction="average" dataDxfId="46" totalsRowDxfId="13">
      <calculatedColumnFormula array="1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calculatedColumnFormula>
    </tableColumn>
    <tableColumn id="4" xr3:uid="{BEF51716-5610-409C-803E-E25A357E273B}" name="Prev Month" totalsRowFunction="average" dataDxfId="45" totalsRowDxfId="12">
      <calculatedColumnFormula array="1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calculatedColumnFormula>
    </tableColumn>
    <tableColumn id="3" xr3:uid="{885D9843-00F8-4621-B0DA-3426D94301A4}" name="Current Month" totalsRowFunction="average" dataDxfId="44" totalsRowDxfId="11">
      <calculatedColumnFormula array="1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calculatedColumnFormula>
    </tableColumn>
    <tableColumn id="16" xr3:uid="{4EF45DE5-E517-4969-813A-C54AFB9B3D60}" name="Unresolved" totalsRowFunction="average" dataDxfId="43" totalsRowDxfId="10">
      <calculatedColumnFormula array="1">IFERROR(SUMPRODUCT(1*(Outstanding[CONTRACTOR]=Trends110[[#This Row],[CONTRACTOR]]),TODAY()-Outstanding[HANDSHEET ISSUE DATE])/SUMPRODUCT(1*(Outstanding[CONTRACTOR]=Trends110[[#This Row],[CONTRACTOR]])),0)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F265-300F-4789-914D-6D1B66DC7BC5}">
  <sheetPr codeName="Sheet1"/>
  <dimension ref="A1:C41"/>
  <sheetViews>
    <sheetView zoomScaleNormal="100" workbookViewId="0">
      <pane ySplit="7" topLeftCell="A8" activePane="bottomLeft" state="frozen"/>
      <selection pane="bottomLeft" activeCell="C10" sqref="C10"/>
    </sheetView>
  </sheetViews>
  <sheetFormatPr defaultRowHeight="15" x14ac:dyDescent="0.25"/>
  <cols>
    <col min="1" max="1" width="11" style="58" bestFit="1" customWidth="1"/>
    <col min="2" max="2" width="22.42578125" style="59" customWidth="1"/>
    <col min="3" max="3" width="39.5703125" style="55" customWidth="1"/>
    <col min="4" max="5" width="9.140625" style="55"/>
    <col min="6" max="6" width="17.28515625" style="55" bestFit="1" customWidth="1"/>
    <col min="7" max="16384" width="9.140625" style="55"/>
  </cols>
  <sheetData>
    <row r="1" spans="1:3" ht="28.5" x14ac:dyDescent="0.45">
      <c r="A1" s="3"/>
      <c r="B1" s="131" t="s">
        <v>0</v>
      </c>
      <c r="C1" s="109"/>
    </row>
    <row r="2" spans="1:3" ht="15" customHeight="1" x14ac:dyDescent="0.25">
      <c r="A2" s="4"/>
      <c r="B2" s="132"/>
      <c r="C2" s="110"/>
    </row>
    <row r="3" spans="1:3" x14ac:dyDescent="0.25">
      <c r="A3" s="4"/>
      <c r="B3" s="133"/>
      <c r="C3" s="56"/>
    </row>
    <row r="4" spans="1:3" x14ac:dyDescent="0.25">
      <c r="A4" s="5"/>
      <c r="B4" s="134"/>
      <c r="C4" s="8" t="s">
        <v>369</v>
      </c>
    </row>
    <row r="5" spans="1:3" x14ac:dyDescent="0.25">
      <c r="A5" s="6"/>
      <c r="B5" s="135"/>
      <c r="C5" s="8" t="s">
        <v>372</v>
      </c>
    </row>
    <row r="6" spans="1:3" ht="15.75" thickBot="1" x14ac:dyDescent="0.3">
      <c r="A6" s="7"/>
      <c r="B6" s="136"/>
      <c r="C6" s="2" t="s">
        <v>370</v>
      </c>
    </row>
    <row r="7" spans="1:3" ht="15.75" thickBot="1" x14ac:dyDescent="0.3">
      <c r="A7" s="1" t="s">
        <v>1</v>
      </c>
      <c r="B7" s="137" t="s">
        <v>2</v>
      </c>
      <c r="C7" s="57" t="s">
        <v>371</v>
      </c>
    </row>
    <row r="8" spans="1:3" x14ac:dyDescent="0.25">
      <c r="A8" s="58" t="s">
        <v>22</v>
      </c>
      <c r="B8" s="61">
        <v>123456789012</v>
      </c>
    </row>
    <row r="9" spans="1:3" x14ac:dyDescent="0.25">
      <c r="A9" s="58" t="s">
        <v>22</v>
      </c>
      <c r="B9" s="61">
        <v>123456789013</v>
      </c>
    </row>
    <row r="10" spans="1:3" x14ac:dyDescent="0.25">
      <c r="A10" s="58" t="s">
        <v>22</v>
      </c>
      <c r="B10" s="61">
        <v>123456789014</v>
      </c>
    </row>
    <row r="11" spans="1:3" x14ac:dyDescent="0.25">
      <c r="A11" s="58" t="s">
        <v>22</v>
      </c>
      <c r="B11" s="61">
        <v>123456789015</v>
      </c>
    </row>
    <row r="12" spans="1:3" x14ac:dyDescent="0.25">
      <c r="A12" s="58" t="s">
        <v>22</v>
      </c>
      <c r="B12" s="61">
        <v>123456789016</v>
      </c>
    </row>
    <row r="13" spans="1:3" x14ac:dyDescent="0.25">
      <c r="A13" s="58" t="s">
        <v>22</v>
      </c>
      <c r="B13" s="61">
        <v>123456789017</v>
      </c>
    </row>
    <row r="14" spans="1:3" x14ac:dyDescent="0.25">
      <c r="A14" s="58" t="s">
        <v>22</v>
      </c>
      <c r="B14" s="61">
        <v>123456789018</v>
      </c>
    </row>
    <row r="15" spans="1:3" x14ac:dyDescent="0.25">
      <c r="A15" s="58" t="s">
        <v>22</v>
      </c>
      <c r="B15" s="61">
        <v>123456789019</v>
      </c>
    </row>
    <row r="16" spans="1:3" x14ac:dyDescent="0.25">
      <c r="A16" s="58" t="s">
        <v>22</v>
      </c>
      <c r="B16" s="61">
        <v>123456789020</v>
      </c>
    </row>
    <row r="17" spans="1:2" x14ac:dyDescent="0.25">
      <c r="A17" s="58" t="s">
        <v>22</v>
      </c>
      <c r="B17" s="61">
        <v>123456789021</v>
      </c>
    </row>
    <row r="18" spans="1:2" x14ac:dyDescent="0.25">
      <c r="A18" s="58" t="s">
        <v>22</v>
      </c>
      <c r="B18" s="61">
        <v>123456789022</v>
      </c>
    </row>
    <row r="19" spans="1:2" x14ac:dyDescent="0.25">
      <c r="A19" s="58" t="s">
        <v>22</v>
      </c>
      <c r="B19" s="61">
        <v>123456789023</v>
      </c>
    </row>
    <row r="20" spans="1:2" x14ac:dyDescent="0.25">
      <c r="A20" s="58" t="s">
        <v>22</v>
      </c>
      <c r="B20" s="61">
        <v>123456789024</v>
      </c>
    </row>
    <row r="21" spans="1:2" x14ac:dyDescent="0.25">
      <c r="A21" s="58" t="s">
        <v>22</v>
      </c>
      <c r="B21" s="61">
        <v>123456789025</v>
      </c>
    </row>
    <row r="22" spans="1:2" x14ac:dyDescent="0.25">
      <c r="A22" s="58" t="s">
        <v>22</v>
      </c>
      <c r="B22" s="61">
        <v>123456789026</v>
      </c>
    </row>
    <row r="23" spans="1:2" x14ac:dyDescent="0.25">
      <c r="A23" s="58" t="s">
        <v>22</v>
      </c>
      <c r="B23" s="61">
        <v>123456789027</v>
      </c>
    </row>
    <row r="24" spans="1:2" x14ac:dyDescent="0.25">
      <c r="A24" s="58" t="s">
        <v>22</v>
      </c>
      <c r="B24" s="61">
        <v>123456789028</v>
      </c>
    </row>
    <row r="25" spans="1:2" x14ac:dyDescent="0.25">
      <c r="A25" s="58" t="s">
        <v>22</v>
      </c>
      <c r="B25" s="61">
        <v>123456789029</v>
      </c>
    </row>
    <row r="26" spans="1:2" x14ac:dyDescent="0.25">
      <c r="A26" s="58" t="s">
        <v>22</v>
      </c>
      <c r="B26" s="61">
        <v>123456789030</v>
      </c>
    </row>
    <row r="27" spans="1:2" x14ac:dyDescent="0.25">
      <c r="A27" s="58" t="s">
        <v>22</v>
      </c>
      <c r="B27" s="61">
        <v>123456789031</v>
      </c>
    </row>
    <row r="28" spans="1:2" x14ac:dyDescent="0.25">
      <c r="A28" s="58" t="s">
        <v>22</v>
      </c>
      <c r="B28" s="61">
        <v>123456789032</v>
      </c>
    </row>
    <row r="29" spans="1:2" x14ac:dyDescent="0.25">
      <c r="A29" s="58" t="s">
        <v>22</v>
      </c>
      <c r="B29" s="61">
        <v>123456789033</v>
      </c>
    </row>
    <row r="30" spans="1:2" x14ac:dyDescent="0.25">
      <c r="A30" s="58" t="s">
        <v>22</v>
      </c>
      <c r="B30" s="61">
        <v>123456789034</v>
      </c>
    </row>
    <row r="31" spans="1:2" x14ac:dyDescent="0.25">
      <c r="A31" s="58" t="s">
        <v>22</v>
      </c>
      <c r="B31" s="61">
        <v>123456789035</v>
      </c>
    </row>
    <row r="32" spans="1:2" x14ac:dyDescent="0.25">
      <c r="A32" s="58" t="s">
        <v>22</v>
      </c>
      <c r="B32" s="61">
        <v>123456789036</v>
      </c>
    </row>
    <row r="33" spans="1:2" x14ac:dyDescent="0.25">
      <c r="A33" s="58" t="s">
        <v>22</v>
      </c>
      <c r="B33" s="61">
        <v>123456789037</v>
      </c>
    </row>
    <row r="34" spans="1:2" x14ac:dyDescent="0.25">
      <c r="A34" s="58" t="s">
        <v>22</v>
      </c>
      <c r="B34" s="61">
        <v>123456789038</v>
      </c>
    </row>
    <row r="35" spans="1:2" x14ac:dyDescent="0.25">
      <c r="A35" s="58" t="s">
        <v>22</v>
      </c>
      <c r="B35" s="61">
        <v>123456789039</v>
      </c>
    </row>
    <row r="36" spans="1:2" x14ac:dyDescent="0.25">
      <c r="A36" s="58" t="s">
        <v>22</v>
      </c>
      <c r="B36" s="61">
        <v>123456789040</v>
      </c>
    </row>
    <row r="37" spans="1:2" x14ac:dyDescent="0.25">
      <c r="A37" s="58" t="s">
        <v>22</v>
      </c>
      <c r="B37" s="61">
        <v>123456789041</v>
      </c>
    </row>
    <row r="38" spans="1:2" x14ac:dyDescent="0.25">
      <c r="A38" s="58" t="s">
        <v>22</v>
      </c>
      <c r="B38" s="61">
        <v>123456789042</v>
      </c>
    </row>
    <row r="39" spans="1:2" x14ac:dyDescent="0.25">
      <c r="A39" s="58" t="s">
        <v>22</v>
      </c>
      <c r="B39" s="61">
        <v>123456789043</v>
      </c>
    </row>
    <row r="40" spans="1:2" x14ac:dyDescent="0.25">
      <c r="A40" s="58" t="s">
        <v>22</v>
      </c>
      <c r="B40" s="61">
        <v>123456789044</v>
      </c>
    </row>
    <row r="41" spans="1:2" x14ac:dyDescent="0.25">
      <c r="A41" s="58" t="s">
        <v>22</v>
      </c>
      <c r="B41" s="61">
        <v>123456789045</v>
      </c>
    </row>
  </sheetData>
  <autoFilter ref="A7:C7" xr:uid="{2F6AE82D-E940-4D6E-BFD6-9419B77361E6}">
    <sortState xmlns:xlrd2="http://schemas.microsoft.com/office/spreadsheetml/2017/richdata2" ref="A8:C47">
      <sortCondition ref="A7"/>
    </sortState>
  </autoFilter>
  <phoneticPr fontId="2" type="noConversion"/>
  <conditionalFormatting sqref="A1:A1048576">
    <cfRule type="containsText" dxfId="6" priority="9" operator="containsText" text="UNKNOWN">
      <formula>NOT(ISERROR(SEARCH("UNKNOWN",A1)))</formula>
    </cfRule>
    <cfRule type="containsText" dxfId="5" priority="10" operator="containsText" text="NOT">
      <formula>NOT(ISERROR(SEARCH("NOT",A1)))</formula>
    </cfRule>
    <cfRule type="containsText" dxfId="4" priority="11" operator="containsText" text="85">
      <formula>NOT(ISERROR(SEARCH("85",A1)))</formula>
    </cfRule>
  </conditionalFormatting>
  <conditionalFormatting sqref="B1:B1048576">
    <cfRule type="duplicateValues" dxfId="3" priority="46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othButtonClick">
                <anchor moveWithCells="1" sizeWithCells="1">
                  <from>
                    <xdr:col>0</xdr:col>
                    <xdr:colOff>247650</xdr:colOff>
                    <xdr:row>2</xdr:row>
                    <xdr:rowOff>123825</xdr:rowOff>
                  </from>
                  <to>
                    <xdr:col>0</xdr:col>
                    <xdr:colOff>542925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eet1.PullReportButtonClick">
                <anchor moveWithCells="1" sizeWithCells="1">
                  <from>
                    <xdr:col>1</xdr:col>
                    <xdr:colOff>38100</xdr:colOff>
                    <xdr:row>2</xdr:row>
                    <xdr:rowOff>123825</xdr:rowOff>
                  </from>
                  <to>
                    <xdr:col>1</xdr:col>
                    <xdr:colOff>1000125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heet1.ValidateButtonClick">
                <anchor moveWithCells="1" sizeWithCells="1">
                  <from>
                    <xdr:col>1</xdr:col>
                    <xdr:colOff>38100</xdr:colOff>
                    <xdr:row>4</xdr:row>
                    <xdr:rowOff>38100</xdr:rowOff>
                  </from>
                  <to>
                    <xdr:col>1</xdr:col>
                    <xdr:colOff>1000125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AllVansBackCheckBox">
              <controlPr defaultSize="0" autoFill="0" autoLine="0" autoPict="0">
                <anchor moveWithCells="1">
                  <from>
                    <xdr:col>2</xdr:col>
                    <xdr:colOff>1123950</xdr:colOff>
                    <xdr:row>2</xdr:row>
                    <xdr:rowOff>0</xdr:rowOff>
                  </from>
                  <to>
                    <xdr:col>2</xdr:col>
                    <xdr:colOff>2505075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02F7F-10C6-41AE-AFB8-796B4760A19C}">
  <sheetPr codeName="Sheet2"/>
  <dimension ref="A1:P6"/>
  <sheetViews>
    <sheetView zoomScale="85" zoomScaleNormal="85" workbookViewId="0">
      <pane ySplit="6" topLeftCell="A7" activePane="bottomLeft" state="frozen"/>
      <selection pane="bottomLeft" activeCell="C12" sqref="C12"/>
    </sheetView>
  </sheetViews>
  <sheetFormatPr defaultRowHeight="15" customHeight="1" x14ac:dyDescent="0.25"/>
  <cols>
    <col min="1" max="1" width="10.28515625" style="68" bestFit="1" customWidth="1"/>
    <col min="2" max="2" width="17.28515625" style="68" customWidth="1"/>
    <col min="3" max="3" width="15.5703125" style="68" bestFit="1" customWidth="1"/>
    <col min="4" max="4" width="13" style="68" customWidth="1"/>
    <col min="5" max="5" width="26.42578125" style="68" customWidth="1"/>
    <col min="6" max="6" width="31.5703125" style="68" customWidth="1"/>
    <col min="7" max="7" width="19.85546875" style="144" customWidth="1"/>
    <col min="8" max="8" width="12.28515625" style="77" customWidth="1"/>
    <col min="9" max="9" width="14.28515625" style="77" customWidth="1"/>
    <col min="10" max="10" width="14.140625" style="76" customWidth="1"/>
    <col min="11" max="11" width="27" style="76" customWidth="1"/>
    <col min="12" max="12" width="16.140625" style="76" bestFit="1" customWidth="1"/>
    <col min="13" max="13" width="18.28515625" style="83" customWidth="1"/>
    <col min="14" max="14" width="10.5703125" style="76" bestFit="1" customWidth="1"/>
    <col min="15" max="15" width="9" style="76" customWidth="1"/>
    <col min="16" max="16" width="32.140625" style="126" customWidth="1"/>
    <col min="17" max="16384" width="9.140625" style="53"/>
  </cols>
  <sheetData>
    <row r="1" spans="1:16" ht="28.5" x14ac:dyDescent="0.45">
      <c r="A1" s="11"/>
      <c r="B1" s="12"/>
      <c r="C1" s="91">
        <f ca="1">TODAY()</f>
        <v>44694</v>
      </c>
      <c r="D1" s="12"/>
      <c r="E1" s="66" t="s">
        <v>3</v>
      </c>
      <c r="F1" s="67"/>
      <c r="G1" s="139"/>
      <c r="H1" s="69"/>
      <c r="I1" s="69"/>
      <c r="J1" s="67"/>
      <c r="K1" s="67"/>
      <c r="L1" s="67"/>
      <c r="M1" s="78"/>
      <c r="N1" s="67"/>
      <c r="O1" s="67"/>
      <c r="P1" s="127"/>
    </row>
    <row r="2" spans="1:16" x14ac:dyDescent="0.25">
      <c r="A2" s="14"/>
      <c r="B2" s="15"/>
      <c r="C2" s="15"/>
      <c r="D2" s="15"/>
      <c r="E2" s="15"/>
      <c r="F2" s="15"/>
      <c r="G2" s="140"/>
      <c r="H2" s="71"/>
      <c r="I2" s="71"/>
      <c r="J2" s="70"/>
      <c r="K2" s="70"/>
      <c r="L2" s="70"/>
      <c r="M2" s="79"/>
      <c r="N2" s="70"/>
      <c r="O2" s="70"/>
      <c r="P2" s="128"/>
    </row>
    <row r="3" spans="1:16" x14ac:dyDescent="0.25">
      <c r="A3" s="17"/>
      <c r="B3" s="18"/>
      <c r="C3" s="18"/>
      <c r="D3" s="18"/>
      <c r="E3" s="18"/>
      <c r="F3" s="18"/>
      <c r="G3" s="141"/>
      <c r="H3" s="73"/>
      <c r="I3" s="73"/>
      <c r="J3" s="72"/>
      <c r="K3" s="72"/>
      <c r="L3" s="72"/>
      <c r="M3" s="80"/>
      <c r="N3" s="72"/>
      <c r="O3" s="72"/>
      <c r="P3" s="129"/>
    </row>
    <row r="4" spans="1:16" x14ac:dyDescent="0.25">
      <c r="A4" s="20"/>
      <c r="B4" s="21"/>
      <c r="C4" s="21"/>
      <c r="D4" s="21"/>
      <c r="E4" s="21"/>
      <c r="F4" s="21"/>
      <c r="G4" s="141"/>
      <c r="H4" s="73"/>
      <c r="I4" s="73"/>
      <c r="J4" s="72"/>
      <c r="K4" s="72"/>
      <c r="L4" s="72"/>
      <c r="M4" s="80"/>
      <c r="N4" s="72"/>
      <c r="O4" s="72"/>
      <c r="P4" s="129"/>
    </row>
    <row r="5" spans="1:16" ht="15.75" thickBot="1" x14ac:dyDescent="0.3">
      <c r="A5" s="23"/>
      <c r="B5" s="24"/>
      <c r="C5" s="24"/>
      <c r="D5" s="24"/>
      <c r="E5" s="24"/>
      <c r="F5" s="24"/>
      <c r="G5" s="142"/>
      <c r="H5" s="75"/>
      <c r="I5" s="75"/>
      <c r="J5" s="74"/>
      <c r="K5" s="74"/>
      <c r="L5" s="74"/>
      <c r="M5" s="81"/>
      <c r="N5" s="74"/>
      <c r="O5" s="74"/>
      <c r="P5" s="130"/>
    </row>
    <row r="6" spans="1:16" s="50" customFormat="1" ht="30.75" thickBot="1" x14ac:dyDescent="0.3">
      <c r="A6" s="25" t="s">
        <v>4</v>
      </c>
      <c r="B6" s="25" t="s">
        <v>5</v>
      </c>
      <c r="C6" s="25" t="s">
        <v>6</v>
      </c>
      <c r="D6" s="25" t="s">
        <v>7</v>
      </c>
      <c r="E6" s="26" t="s">
        <v>8</v>
      </c>
      <c r="F6" s="25" t="s">
        <v>9</v>
      </c>
      <c r="G6" s="143" t="s">
        <v>2</v>
      </c>
      <c r="H6" s="28" t="s">
        <v>10</v>
      </c>
      <c r="I6" s="28" t="s">
        <v>11</v>
      </c>
      <c r="J6" s="27" t="s">
        <v>12</v>
      </c>
      <c r="K6" s="25" t="s">
        <v>13</v>
      </c>
      <c r="L6" s="27" t="s">
        <v>14</v>
      </c>
      <c r="M6" s="82" t="s">
        <v>15</v>
      </c>
      <c r="N6" s="27" t="s">
        <v>16</v>
      </c>
      <c r="O6" s="27" t="s">
        <v>17</v>
      </c>
      <c r="P6" s="125" t="s">
        <v>18</v>
      </c>
    </row>
  </sheetData>
  <sheetProtection formatCells="0" insertColumns="0" insertRows="0" deleteColumns="0" deleteRows="0"/>
  <autoFilter ref="A6:P6" xr:uid="{C3E20987-B7A5-4391-9C82-220AA990024F}">
    <sortState xmlns:xlrd2="http://schemas.microsoft.com/office/spreadsheetml/2017/richdata2" ref="A7:P26">
      <sortCondition ref="I6"/>
    </sortState>
  </autoFilter>
  <dataConsolidate/>
  <phoneticPr fontId="2" type="noConversion"/>
  <conditionalFormatting sqref="G1:G1048576">
    <cfRule type="duplicateValues" dxfId="2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Sheet5.ContractorToolClick">
                <anchor moveWithCells="1">
                  <from>
                    <xdr:col>0</xdr:col>
                    <xdr:colOff>361950</xdr:colOff>
                    <xdr:row>1</xdr:row>
                    <xdr:rowOff>104775</xdr:rowOff>
                  </from>
                  <to>
                    <xdr:col>1</xdr:col>
                    <xdr:colOff>504825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Sheet2.Research">
                <anchor moveWithCells="1">
                  <from>
                    <xdr:col>6</xdr:col>
                    <xdr:colOff>561975</xdr:colOff>
                    <xdr:row>1</xdr:row>
                    <xdr:rowOff>114300</xdr:rowOff>
                  </from>
                  <to>
                    <xdr:col>10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>
                <anchor moveWithCells="1" sizeWithCells="1">
                  <from>
                    <xdr:col>4</xdr:col>
                    <xdr:colOff>19050</xdr:colOff>
                    <xdr:row>1</xdr:row>
                    <xdr:rowOff>104775</xdr:rowOff>
                  </from>
                  <to>
                    <xdr:col>4</xdr:col>
                    <xdr:colOff>1181100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48753-0DA3-4409-A5C4-7E1A8D468124}">
  <sheetPr codeName="Sheet3">
    <pageSetUpPr fitToPage="1"/>
  </sheetPr>
  <dimension ref="A1:R58"/>
  <sheetViews>
    <sheetView topLeftCell="F1" zoomScale="80" zoomScaleNormal="80" workbookViewId="0">
      <pane ySplit="6" topLeftCell="A7" activePane="bottomLeft" state="frozen"/>
      <selection activeCell="R13" sqref="R13"/>
      <selection pane="bottomLeft" activeCell="P12" sqref="P12"/>
    </sheetView>
  </sheetViews>
  <sheetFormatPr defaultRowHeight="15" x14ac:dyDescent="0.25"/>
  <cols>
    <col min="1" max="1" width="7.5703125" style="49" bestFit="1" customWidth="1"/>
    <col min="2" max="2" width="17.28515625" style="49" customWidth="1"/>
    <col min="3" max="3" width="15.5703125" style="49" bestFit="1" customWidth="1"/>
    <col min="4" max="4" width="11.28515625" style="51" customWidth="1"/>
    <col min="5" max="5" width="26.42578125" style="49" customWidth="1"/>
    <col min="6" max="6" width="31.5703125" style="49" customWidth="1"/>
    <col min="7" max="7" width="16.7109375" style="76" customWidth="1"/>
    <col min="8" max="8" width="12.28515625" style="51" customWidth="1"/>
    <col min="9" max="9" width="12" style="51" customWidth="1"/>
    <col min="10" max="10" width="10.28515625" style="52" customWidth="1"/>
    <col min="11" max="11" width="23.28515625" style="52" customWidth="1"/>
    <col min="12" max="15" width="16.28515625" style="54" customWidth="1"/>
    <col min="16" max="16" width="17.85546875" style="53" customWidth="1"/>
    <col min="17" max="17" width="16.28515625" style="92" customWidth="1"/>
    <col min="18" max="18" width="10.7109375" style="51" bestFit="1" customWidth="1"/>
    <col min="19" max="19" width="10.7109375" style="49" bestFit="1" customWidth="1"/>
    <col min="20" max="16384" width="9.140625" style="49"/>
  </cols>
  <sheetData>
    <row r="1" spans="1:18" ht="28.5" x14ac:dyDescent="0.45">
      <c r="A1" s="33"/>
      <c r="B1" s="65" t="s">
        <v>19</v>
      </c>
      <c r="C1" s="64">
        <f ca="1">TODAY()</f>
        <v>44694</v>
      </c>
      <c r="D1" s="34"/>
      <c r="E1" s="111" t="s">
        <v>20</v>
      </c>
      <c r="F1" s="111"/>
      <c r="G1" s="66"/>
      <c r="H1" s="112"/>
      <c r="I1" s="112" t="str">
        <f>CONCATENATE(SUBTOTAL(3,Outstanding[TRACKING ID])," PACKAGES")</f>
        <v>4 PACKAGES</v>
      </c>
      <c r="J1" s="113"/>
      <c r="K1" s="113"/>
      <c r="L1" s="84"/>
      <c r="M1" s="13"/>
      <c r="N1" s="13"/>
      <c r="O1" s="13"/>
      <c r="P1" s="85"/>
      <c r="Q1" s="97"/>
    </row>
    <row r="2" spans="1:18" x14ac:dyDescent="0.25">
      <c r="A2" s="35"/>
      <c r="B2" s="29"/>
      <c r="C2" s="93">
        <f ca="1">C1+1</f>
        <v>44695</v>
      </c>
      <c r="D2" s="37"/>
      <c r="E2" s="29"/>
      <c r="F2" s="29"/>
      <c r="G2" s="70"/>
      <c r="H2" s="37"/>
      <c r="I2" s="37"/>
      <c r="J2" s="36"/>
      <c r="K2" s="36"/>
      <c r="L2" s="86"/>
      <c r="M2" s="16"/>
      <c r="N2" s="16"/>
      <c r="O2" s="16"/>
      <c r="P2" s="87"/>
      <c r="Q2" s="98"/>
    </row>
    <row r="3" spans="1:18" ht="15" customHeight="1" x14ac:dyDescent="0.25">
      <c r="A3" s="38"/>
      <c r="B3" s="30"/>
      <c r="C3" s="30"/>
      <c r="D3" s="62"/>
      <c r="E3" s="30"/>
      <c r="F3" s="30"/>
      <c r="G3" s="72"/>
      <c r="H3" s="40"/>
      <c r="I3" s="40"/>
      <c r="J3" s="39"/>
      <c r="K3" s="39"/>
      <c r="L3" s="88"/>
      <c r="M3" s="19"/>
      <c r="N3" s="19"/>
      <c r="O3" s="19"/>
      <c r="P3" s="89"/>
      <c r="Q3" s="99"/>
    </row>
    <row r="4" spans="1:18" ht="15" customHeight="1" x14ac:dyDescent="0.25">
      <c r="A4" s="41"/>
      <c r="B4" s="31"/>
      <c r="C4" s="31"/>
      <c r="D4" s="63"/>
      <c r="E4" s="31"/>
      <c r="F4" s="31"/>
      <c r="G4" s="72"/>
      <c r="H4" s="40"/>
      <c r="I4" s="40"/>
      <c r="J4" s="39"/>
      <c r="K4" s="39"/>
      <c r="L4" s="90"/>
      <c r="M4" s="22"/>
      <c r="N4" s="22"/>
      <c r="O4" s="22"/>
      <c r="P4" s="89"/>
      <c r="Q4" s="99"/>
    </row>
    <row r="5" spans="1:18" ht="15" customHeight="1" thickBot="1" x14ac:dyDescent="0.3">
      <c r="A5" s="100"/>
      <c r="B5" s="101"/>
      <c r="C5" s="102"/>
      <c r="D5" s="103"/>
      <c r="E5" s="101"/>
      <c r="F5" s="101"/>
      <c r="G5" s="74"/>
      <c r="H5" s="105"/>
      <c r="I5" s="105"/>
      <c r="J5" s="104"/>
      <c r="K5" s="107"/>
      <c r="L5" s="138"/>
      <c r="M5" s="106"/>
      <c r="N5" s="106"/>
      <c r="O5" s="106"/>
      <c r="P5" s="107"/>
      <c r="Q5" s="108"/>
    </row>
    <row r="6" spans="1:18" s="50" customFormat="1" ht="30.75" thickBot="1" x14ac:dyDescent="0.3">
      <c r="A6" s="42" t="s">
        <v>4</v>
      </c>
      <c r="B6" s="42" t="s">
        <v>5</v>
      </c>
      <c r="C6" s="42" t="s">
        <v>6</v>
      </c>
      <c r="D6" s="96" t="s">
        <v>7</v>
      </c>
      <c r="E6" s="32" t="s">
        <v>8</v>
      </c>
      <c r="F6" s="32" t="s">
        <v>9</v>
      </c>
      <c r="G6" s="27" t="s">
        <v>2</v>
      </c>
      <c r="H6" s="44" t="s">
        <v>10</v>
      </c>
      <c r="I6" s="44" t="s">
        <v>11</v>
      </c>
      <c r="J6" s="43" t="s">
        <v>12</v>
      </c>
      <c r="K6" s="42" t="s">
        <v>13</v>
      </c>
      <c r="L6" s="42" t="s">
        <v>14</v>
      </c>
      <c r="M6" s="42" t="s">
        <v>15</v>
      </c>
      <c r="N6" s="42" t="s">
        <v>16</v>
      </c>
      <c r="O6" s="96" t="s">
        <v>17</v>
      </c>
      <c r="P6" s="32" t="s">
        <v>18</v>
      </c>
      <c r="Q6" s="96" t="s">
        <v>21</v>
      </c>
      <c r="R6" s="124"/>
    </row>
    <row r="7" spans="1:18" ht="15" customHeight="1" x14ac:dyDescent="0.25">
      <c r="A7" s="68">
        <v>101</v>
      </c>
      <c r="B7" s="76" t="s">
        <v>389</v>
      </c>
      <c r="C7" s="114" t="s">
        <v>391</v>
      </c>
      <c r="D7" s="114" t="s">
        <v>22</v>
      </c>
      <c r="E7" s="114" t="s">
        <v>397</v>
      </c>
      <c r="F7" s="115" t="s">
        <v>393</v>
      </c>
      <c r="G7" s="114" t="s">
        <v>394</v>
      </c>
      <c r="H7" s="115">
        <v>44378</v>
      </c>
      <c r="I7" s="115">
        <v>44377.284722222219</v>
      </c>
      <c r="J7" s="114" t="s">
        <v>400</v>
      </c>
      <c r="K7" s="76" t="s">
        <v>48</v>
      </c>
      <c r="L7" s="76" t="s">
        <v>402</v>
      </c>
      <c r="M7" s="83">
        <v>5554567888</v>
      </c>
      <c r="N7" s="76" t="s">
        <v>39</v>
      </c>
      <c r="O7" s="76" t="s">
        <v>404</v>
      </c>
      <c r="P7" s="83">
        <v>5555854731</v>
      </c>
      <c r="Q7" s="51"/>
    </row>
    <row r="8" spans="1:18" ht="15" customHeight="1" x14ac:dyDescent="0.25">
      <c r="A8" s="68">
        <v>104</v>
      </c>
      <c r="B8" s="76" t="s">
        <v>389</v>
      </c>
      <c r="C8" s="114" t="s">
        <v>391</v>
      </c>
      <c r="D8" s="114" t="s">
        <v>22</v>
      </c>
      <c r="E8" s="114" t="s">
        <v>397</v>
      </c>
      <c r="F8" s="115" t="s">
        <v>393</v>
      </c>
      <c r="G8" s="114" t="s">
        <v>394</v>
      </c>
      <c r="H8" s="115">
        <v>44378</v>
      </c>
      <c r="I8" s="115">
        <v>44377.284722222219</v>
      </c>
      <c r="J8" s="114" t="s">
        <v>400</v>
      </c>
      <c r="K8" s="76" t="s">
        <v>48</v>
      </c>
      <c r="L8" s="76" t="s">
        <v>402</v>
      </c>
      <c r="M8" s="83">
        <v>5554567888</v>
      </c>
      <c r="N8" s="76" t="s">
        <v>39</v>
      </c>
      <c r="O8" s="76" t="s">
        <v>405</v>
      </c>
      <c r="P8" s="83">
        <v>5555854731</v>
      </c>
      <c r="Q8" s="51"/>
    </row>
    <row r="9" spans="1:18" ht="15" customHeight="1" x14ac:dyDescent="0.25">
      <c r="A9" s="68">
        <v>1111</v>
      </c>
      <c r="B9" s="76" t="s">
        <v>390</v>
      </c>
      <c r="C9" s="114" t="s">
        <v>392</v>
      </c>
      <c r="D9" s="114" t="s">
        <v>22</v>
      </c>
      <c r="E9" s="114" t="s">
        <v>398</v>
      </c>
      <c r="F9" s="115" t="s">
        <v>399</v>
      </c>
      <c r="G9" s="114" t="s">
        <v>395</v>
      </c>
      <c r="H9" s="115">
        <v>44406</v>
      </c>
      <c r="I9" s="115">
        <v>44402.263194444444</v>
      </c>
      <c r="J9" s="114" t="s">
        <v>401</v>
      </c>
      <c r="K9" s="76" t="s">
        <v>196</v>
      </c>
      <c r="L9" s="76" t="s">
        <v>403</v>
      </c>
      <c r="M9" s="83">
        <v>5556739924</v>
      </c>
      <c r="N9" s="76" t="s">
        <v>191</v>
      </c>
      <c r="O9" s="76" t="s">
        <v>406</v>
      </c>
      <c r="P9" s="83">
        <v>5555555555</v>
      </c>
      <c r="Q9" s="51"/>
    </row>
    <row r="10" spans="1:18" ht="15" customHeight="1" x14ac:dyDescent="0.25">
      <c r="A10" s="68">
        <v>1111</v>
      </c>
      <c r="B10" s="76" t="s">
        <v>390</v>
      </c>
      <c r="C10" s="114" t="s">
        <v>392</v>
      </c>
      <c r="D10" s="114" t="s">
        <v>22</v>
      </c>
      <c r="E10" s="114" t="s">
        <v>398</v>
      </c>
      <c r="F10" s="115" t="s">
        <v>399</v>
      </c>
      <c r="G10" s="114" t="s">
        <v>396</v>
      </c>
      <c r="H10" s="115">
        <v>44406</v>
      </c>
      <c r="I10" s="115">
        <v>44402.263194444444</v>
      </c>
      <c r="J10" s="114" t="s">
        <v>401</v>
      </c>
      <c r="K10" s="76"/>
      <c r="L10" s="76" t="s">
        <v>403</v>
      </c>
      <c r="M10" s="83">
        <v>5556739924</v>
      </c>
      <c r="N10" s="76" t="s">
        <v>191</v>
      </c>
      <c r="O10" s="76" t="s">
        <v>407</v>
      </c>
      <c r="P10" s="83">
        <v>5555555555</v>
      </c>
      <c r="Q10" s="51"/>
    </row>
    <row r="11" spans="1:18" ht="15" customHeight="1" x14ac:dyDescent="0.25"/>
    <row r="12" spans="1:18" ht="15" customHeight="1" x14ac:dyDescent="0.25"/>
    <row r="13" spans="1:18" ht="15" customHeight="1" x14ac:dyDescent="0.25"/>
    <row r="14" spans="1:18" ht="15" customHeight="1" x14ac:dyDescent="0.25"/>
    <row r="15" spans="1:18" ht="15" customHeight="1" x14ac:dyDescent="0.25"/>
    <row r="16" spans="1:1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</sheetData>
  <sheetProtection formatCells="0" insertColumns="0" insertRows="0" deleteColumns="0" deleteRows="0"/>
  <dataConsolidate/>
  <phoneticPr fontId="2" type="noConversion"/>
  <conditionalFormatting sqref="G1:G1048576">
    <cfRule type="duplicateValues" dxfId="1" priority="1"/>
  </conditionalFormatting>
  <dataValidations count="1">
    <dataValidation type="list" allowBlank="1" showInputMessage="1" sqref="Q7:Q10" xr:uid="{4C237134-7FC1-4A6F-85DF-168B57FB93D1}">
      <formula1>$C$1</formula1>
    </dataValidation>
  </dataValidations>
  <pageMargins left="0.7" right="0.7" top="0.75" bottom="0.75" header="0.3" footer="0.3"/>
  <pageSetup scale="4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2294" r:id="rId4" name="cbxContractor">
          <controlPr defaultSize="0" autoLine="0" listFillRange="Contractors" r:id="rId5">
            <anchor moveWithCells="1">
              <from>
                <xdr:col>4</xdr:col>
                <xdr:colOff>85725</xdr:colOff>
                <xdr:row>1</xdr:row>
                <xdr:rowOff>114300</xdr:rowOff>
              </from>
              <to>
                <xdr:col>5</xdr:col>
                <xdr:colOff>790575</xdr:colOff>
                <xdr:row>3</xdr:row>
                <xdr:rowOff>152400</xdr:rowOff>
              </to>
            </anchor>
          </controlPr>
        </control>
      </mc:Choice>
      <mc:Fallback>
        <control shapeId="12294" r:id="rId4" name="cbxContractor"/>
      </mc:Fallback>
    </mc:AlternateContent>
    <mc:AlternateContent xmlns:mc="http://schemas.openxmlformats.org/markup-compatibility/2006">
      <mc:Choice Requires="x14">
        <control shapeId="12289" r:id="rId6" name="Button 1">
          <controlPr defaultSize="0" print="0" autoFill="0" autoPict="0" macro="[0]!Sheet5.ContractorToolClick">
            <anchor moveWithCells="1">
              <from>
                <xdr:col>0</xdr:col>
                <xdr:colOff>361950</xdr:colOff>
                <xdr:row>1</xdr:row>
                <xdr:rowOff>104775</xdr:rowOff>
              </from>
              <to>
                <xdr:col>1</xdr:col>
                <xdr:colOff>695325</xdr:colOff>
                <xdr:row>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7" name="Button 2">
          <controlPr defaultSize="0" print="0" autoFill="0" autoPict="0" macro="[0]!Sheet2.Research">
            <anchor moveWithCells="1">
              <from>
                <xdr:col>6</xdr:col>
                <xdr:colOff>561975</xdr:colOff>
                <xdr:row>1</xdr:row>
                <xdr:rowOff>114300</xdr:rowOff>
              </from>
              <to>
                <xdr:col>10</xdr:col>
                <xdr:colOff>1123950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5" r:id="rId8" name="Button 7">
          <controlPr defaultSize="0" print="0" autoFill="0" autoPict="0" macro="[0]!Sheet3.PrintBtnClick">
            <anchor moveWithCells="1" sizeWithCells="1">
              <from>
                <xdr:col>5</xdr:col>
                <xdr:colOff>1143000</xdr:colOff>
                <xdr:row>1</xdr:row>
                <xdr:rowOff>104775</xdr:rowOff>
              </from>
              <to>
                <xdr:col>6</xdr:col>
                <xdr:colOff>238125</xdr:colOff>
                <xdr:row>3</xdr:row>
                <xdr:rowOff>152400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8BD41-53B2-4ECF-B166-33EF46983C2B}">
  <sheetPr codeName="Sheet6"/>
  <dimension ref="A1:Q1717"/>
  <sheetViews>
    <sheetView workbookViewId="0">
      <pane ySplit="2" topLeftCell="A110" activePane="bottomLeft" state="frozen"/>
      <selection pane="bottomLeft" activeCell="I128" sqref="I128"/>
    </sheetView>
  </sheetViews>
  <sheetFormatPr defaultRowHeight="15" x14ac:dyDescent="0.25"/>
  <cols>
    <col min="1" max="1" width="15.5703125" style="55" bestFit="1" customWidth="1"/>
    <col min="2" max="2" width="11" style="55" bestFit="1" customWidth="1"/>
    <col min="3" max="3" width="25.7109375" style="55" customWidth="1"/>
    <col min="4" max="4" width="32.85546875" style="55" customWidth="1"/>
    <col min="5" max="5" width="16.5703125" style="59" customWidth="1"/>
    <col min="6" max="6" width="14.42578125" style="60" customWidth="1"/>
    <col min="7" max="7" width="13.85546875" style="60" customWidth="1"/>
    <col min="8" max="8" width="12.140625" style="61" customWidth="1"/>
    <col min="9" max="9" width="21.7109375" style="55" customWidth="1"/>
    <col min="10" max="11" width="9.140625" style="55"/>
    <col min="14" max="16384" width="9.140625" style="55"/>
  </cols>
  <sheetData>
    <row r="1" spans="1:17" ht="15.75" thickBot="1" x14ac:dyDescent="0.3">
      <c r="A1" s="116"/>
      <c r="B1" s="117"/>
      <c r="C1" s="117"/>
      <c r="D1" s="117"/>
      <c r="E1" s="117" t="str">
        <f>_xlfn.CONCAT(SUBTOTAL(3,Old85sTable[TRACKING ID])," PACKAGES")</f>
        <v>141 PACKAGES</v>
      </c>
      <c r="F1" s="118"/>
      <c r="G1" s="118"/>
      <c r="H1" s="119"/>
      <c r="I1" s="32"/>
      <c r="J1" s="32"/>
    </row>
    <row r="2" spans="1:17" ht="30.75" thickBot="1" x14ac:dyDescent="0.3">
      <c r="A2" s="42" t="s">
        <v>6</v>
      </c>
      <c r="B2" s="42" t="s">
        <v>21</v>
      </c>
      <c r="C2" s="42" t="s">
        <v>8</v>
      </c>
      <c r="D2" s="42" t="s">
        <v>9</v>
      </c>
      <c r="E2" s="120" t="s">
        <v>2</v>
      </c>
      <c r="F2" s="96" t="s">
        <v>10</v>
      </c>
      <c r="G2" s="96" t="s">
        <v>11</v>
      </c>
      <c r="H2" s="121" t="s">
        <v>12</v>
      </c>
      <c r="I2" s="42" t="s">
        <v>13</v>
      </c>
      <c r="J2" s="42" t="s">
        <v>60</v>
      </c>
    </row>
    <row r="3" spans="1:17" x14ac:dyDescent="0.25">
      <c r="A3" t="s">
        <v>412</v>
      </c>
      <c r="B3" s="10">
        <v>44358</v>
      </c>
      <c r="C3" s="94" t="s">
        <v>935</v>
      </c>
      <c r="D3" s="94" t="s">
        <v>935</v>
      </c>
      <c r="E3" s="59" t="s">
        <v>1047</v>
      </c>
      <c r="F3" s="10">
        <v>44355</v>
      </c>
      <c r="G3" s="10">
        <v>44354.061111111114</v>
      </c>
      <c r="H3" s="95" t="s">
        <v>50</v>
      </c>
      <c r="I3" t="s">
        <v>25</v>
      </c>
      <c r="J3" s="61">
        <f>MIN(Old85sTable[[#This Row],[RESOLVE DATE]]-Old85sTable[[#This Row],[HANDSHEET ISSUE DATE]],30)</f>
        <v>3</v>
      </c>
      <c r="N3" s="55">
        <v>1</v>
      </c>
      <c r="O3" s="55">
        <v>56000</v>
      </c>
      <c r="P3" s="55">
        <v>1234</v>
      </c>
      <c r="Q3" s="55" t="str">
        <f>_xlfn.CONCAT(N3,O3,P3)</f>
        <v>1560001234</v>
      </c>
    </row>
    <row r="4" spans="1:17" x14ac:dyDescent="0.25">
      <c r="A4" t="s">
        <v>412</v>
      </c>
      <c r="B4" s="10">
        <v>44365</v>
      </c>
      <c r="C4" s="94" t="s">
        <v>935</v>
      </c>
      <c r="D4" s="94" t="s">
        <v>935</v>
      </c>
      <c r="E4" s="59" t="s">
        <v>936</v>
      </c>
      <c r="F4" s="10">
        <v>44355</v>
      </c>
      <c r="G4" s="10">
        <v>44354.260416666664</v>
      </c>
      <c r="H4" s="95" t="s">
        <v>50</v>
      </c>
      <c r="I4" t="s">
        <v>302</v>
      </c>
      <c r="J4" s="61">
        <f>MIN(Old85sTable[[#This Row],[RESOLVE DATE]]-Old85sTable[[#This Row],[HANDSHEET ISSUE DATE]],30)</f>
        <v>10</v>
      </c>
      <c r="N4" s="55">
        <v>252</v>
      </c>
      <c r="O4" s="55">
        <v>47691</v>
      </c>
      <c r="P4" s="55">
        <v>7878</v>
      </c>
      <c r="Q4" s="55" t="str">
        <f t="shared" ref="Q4:Q67" si="0">_xlfn.CONCAT(N4,O4,P4)</f>
        <v>252476917878</v>
      </c>
    </row>
    <row r="5" spans="1:17" x14ac:dyDescent="0.25">
      <c r="A5" t="s">
        <v>412</v>
      </c>
      <c r="B5" s="10">
        <v>44365</v>
      </c>
      <c r="C5" s="94" t="s">
        <v>935</v>
      </c>
      <c r="D5" s="94" t="s">
        <v>935</v>
      </c>
      <c r="E5" s="59" t="s">
        <v>1048</v>
      </c>
      <c r="F5" s="10">
        <v>44355</v>
      </c>
      <c r="G5" s="10">
        <v>44354.290277777778</v>
      </c>
      <c r="H5" s="95" t="s">
        <v>50</v>
      </c>
      <c r="I5" t="s">
        <v>152</v>
      </c>
      <c r="J5" s="61">
        <f>MIN(Old85sTable[[#This Row],[RESOLVE DATE]]-Old85sTable[[#This Row],[HANDSHEET ISSUE DATE]],30)</f>
        <v>10</v>
      </c>
      <c r="N5" s="55">
        <v>70</v>
      </c>
      <c r="O5" s="55">
        <v>5306</v>
      </c>
      <c r="P5" s="55">
        <v>7879</v>
      </c>
      <c r="Q5" s="55" t="str">
        <f t="shared" si="0"/>
        <v>7053067879</v>
      </c>
    </row>
    <row r="6" spans="1:17" x14ac:dyDescent="0.25">
      <c r="A6" t="s">
        <v>412</v>
      </c>
      <c r="B6" s="10">
        <v>44378</v>
      </c>
      <c r="C6" s="94" t="s">
        <v>935</v>
      </c>
      <c r="D6" s="94" t="s">
        <v>935</v>
      </c>
      <c r="E6" s="59" t="s">
        <v>937</v>
      </c>
      <c r="F6" s="10">
        <v>44378</v>
      </c>
      <c r="G6" s="10">
        <v>44377.091666666667</v>
      </c>
      <c r="H6" s="95" t="s">
        <v>50</v>
      </c>
      <c r="J6" s="61">
        <f>MIN(Old85sTable[[#This Row],[RESOLVE DATE]]-Old85sTable[[#This Row],[HANDSHEET ISSUE DATE]],30)</f>
        <v>0</v>
      </c>
      <c r="N6" s="55">
        <v>996</v>
      </c>
      <c r="O6" s="55">
        <v>31185</v>
      </c>
      <c r="P6" s="55">
        <v>2807</v>
      </c>
      <c r="Q6" s="55" t="str">
        <f t="shared" si="0"/>
        <v>996311852807</v>
      </c>
    </row>
    <row r="7" spans="1:17" x14ac:dyDescent="0.25">
      <c r="A7" t="s">
        <v>412</v>
      </c>
      <c r="B7" s="10">
        <v>44390</v>
      </c>
      <c r="C7" s="94" t="s">
        <v>935</v>
      </c>
      <c r="D7" s="94" t="s">
        <v>935</v>
      </c>
      <c r="E7" s="59" t="s">
        <v>938</v>
      </c>
      <c r="F7" s="10">
        <v>44379</v>
      </c>
      <c r="G7" s="10">
        <v>44378.057638888888</v>
      </c>
      <c r="H7" s="95" t="s">
        <v>50</v>
      </c>
      <c r="I7" t="s">
        <v>45</v>
      </c>
      <c r="J7" s="61">
        <f>MIN(Old85sTable[[#This Row],[RESOLVE DATE]]-Old85sTable[[#This Row],[HANDSHEET ISSUE DATE]],30)</f>
        <v>11</v>
      </c>
      <c r="N7" s="55">
        <v>380</v>
      </c>
      <c r="O7" s="55">
        <v>80117</v>
      </c>
      <c r="P7" s="55">
        <v>5051</v>
      </c>
      <c r="Q7" s="55" t="str">
        <f t="shared" si="0"/>
        <v>380801175051</v>
      </c>
    </row>
    <row r="8" spans="1:17" x14ac:dyDescent="0.25">
      <c r="A8" t="s">
        <v>412</v>
      </c>
      <c r="B8" s="10">
        <v>44390</v>
      </c>
      <c r="C8" s="94" t="s">
        <v>935</v>
      </c>
      <c r="D8" s="94" t="s">
        <v>935</v>
      </c>
      <c r="E8" s="59" t="s">
        <v>1049</v>
      </c>
      <c r="F8" s="10">
        <v>44386</v>
      </c>
      <c r="G8" s="10">
        <v>44385.134027777778</v>
      </c>
      <c r="H8" s="95" t="s">
        <v>50</v>
      </c>
      <c r="I8" t="s">
        <v>25</v>
      </c>
      <c r="J8" s="61">
        <f>MIN(Old85sTable[[#This Row],[RESOLVE DATE]]-Old85sTable[[#This Row],[HANDSHEET ISSUE DATE]],30)</f>
        <v>4</v>
      </c>
      <c r="N8" s="55">
        <v>30</v>
      </c>
      <c r="O8" s="55">
        <v>20793</v>
      </c>
      <c r="P8" s="55">
        <v>2810</v>
      </c>
      <c r="Q8" s="55" t="str">
        <f t="shared" si="0"/>
        <v>30207932810</v>
      </c>
    </row>
    <row r="9" spans="1:17" x14ac:dyDescent="0.25">
      <c r="A9" t="s">
        <v>412</v>
      </c>
      <c r="B9" s="10">
        <v>44392</v>
      </c>
      <c r="C9" s="94" t="s">
        <v>935</v>
      </c>
      <c r="D9" s="94" t="s">
        <v>935</v>
      </c>
      <c r="E9" s="59" t="s">
        <v>939</v>
      </c>
      <c r="F9" s="10">
        <v>44390</v>
      </c>
      <c r="G9" s="10">
        <v>44389.140277777777</v>
      </c>
      <c r="H9" s="95" t="s">
        <v>50</v>
      </c>
      <c r="I9" t="s">
        <v>45</v>
      </c>
      <c r="J9" s="61">
        <f>MIN(Old85sTable[[#This Row],[RESOLVE DATE]]-Old85sTable[[#This Row],[HANDSHEET ISSUE DATE]],30)</f>
        <v>2</v>
      </c>
      <c r="N9" s="55">
        <v>844</v>
      </c>
      <c r="O9" s="55">
        <v>59382</v>
      </c>
      <c r="P9" s="55">
        <v>9319</v>
      </c>
      <c r="Q9" s="55" t="str">
        <f t="shared" si="0"/>
        <v>844593829319</v>
      </c>
    </row>
    <row r="10" spans="1:17" x14ac:dyDescent="0.25">
      <c r="A10" t="s">
        <v>412</v>
      </c>
      <c r="B10" s="10">
        <v>44405</v>
      </c>
      <c r="C10" s="94" t="s">
        <v>935</v>
      </c>
      <c r="D10" s="94" t="s">
        <v>935</v>
      </c>
      <c r="E10" s="59" t="s">
        <v>1050</v>
      </c>
      <c r="F10" s="10">
        <v>44380</v>
      </c>
      <c r="G10" s="10">
        <v>44379.270833333336</v>
      </c>
      <c r="H10" s="95" t="s">
        <v>50</v>
      </c>
      <c r="I10" t="s">
        <v>45</v>
      </c>
      <c r="J10" s="61">
        <f>MIN(Old85sTable[[#This Row],[RESOLVE DATE]]-Old85sTable[[#This Row],[HANDSHEET ISSUE DATE]],30)</f>
        <v>25</v>
      </c>
      <c r="N10" s="55">
        <v>37</v>
      </c>
      <c r="O10" s="55">
        <v>87760</v>
      </c>
      <c r="P10" s="55">
        <v>9836</v>
      </c>
      <c r="Q10" s="55" t="str">
        <f t="shared" si="0"/>
        <v>37877609836</v>
      </c>
    </row>
    <row r="11" spans="1:17" x14ac:dyDescent="0.25">
      <c r="A11" t="s">
        <v>412</v>
      </c>
      <c r="B11" s="10">
        <v>44405</v>
      </c>
      <c r="C11" s="94" t="s">
        <v>935</v>
      </c>
      <c r="D11" s="94" t="s">
        <v>935</v>
      </c>
      <c r="E11" s="59" t="s">
        <v>1051</v>
      </c>
      <c r="F11" s="10">
        <v>44393</v>
      </c>
      <c r="G11" s="10">
        <v>44392.243055555555</v>
      </c>
      <c r="H11" s="95" t="s">
        <v>50</v>
      </c>
      <c r="I11" t="s">
        <v>45</v>
      </c>
      <c r="J11" s="61">
        <f>MIN(Old85sTable[[#This Row],[RESOLVE DATE]]-Old85sTable[[#This Row],[HANDSHEET ISSUE DATE]],30)</f>
        <v>12</v>
      </c>
      <c r="N11" s="55">
        <v>886</v>
      </c>
      <c r="O11" s="55">
        <v>9696</v>
      </c>
      <c r="P11" s="55">
        <v>1250</v>
      </c>
      <c r="Q11" s="55" t="str">
        <f t="shared" si="0"/>
        <v>88696961250</v>
      </c>
    </row>
    <row r="12" spans="1:17" x14ac:dyDescent="0.25">
      <c r="A12" t="s">
        <v>412</v>
      </c>
      <c r="B12" s="10">
        <v>44420</v>
      </c>
      <c r="C12" s="94" t="s">
        <v>935</v>
      </c>
      <c r="D12" s="94" t="s">
        <v>935</v>
      </c>
      <c r="E12" s="59" t="s">
        <v>940</v>
      </c>
      <c r="F12" s="10">
        <v>44420</v>
      </c>
      <c r="G12" s="10">
        <v>44419.32708333333</v>
      </c>
      <c r="H12" s="95" t="s">
        <v>290</v>
      </c>
      <c r="I12" t="s">
        <v>45</v>
      </c>
      <c r="J12" s="61">
        <f>MIN(Old85sTable[[#This Row],[RESOLVE DATE]]-Old85sTable[[#This Row],[HANDSHEET ISSUE DATE]],30)</f>
        <v>0</v>
      </c>
      <c r="N12" s="55">
        <v>330</v>
      </c>
      <c r="O12" s="55">
        <v>20793</v>
      </c>
      <c r="P12" s="55">
        <v>2822</v>
      </c>
      <c r="Q12" s="55" t="str">
        <f t="shared" si="0"/>
        <v>330207932822</v>
      </c>
    </row>
    <row r="13" spans="1:17" x14ac:dyDescent="0.25">
      <c r="A13" t="s">
        <v>413</v>
      </c>
      <c r="B13" s="10">
        <v>44420</v>
      </c>
      <c r="C13" s="94" t="s">
        <v>935</v>
      </c>
      <c r="D13" s="94" t="s">
        <v>935</v>
      </c>
      <c r="E13" s="59" t="s">
        <v>941</v>
      </c>
      <c r="F13" s="10">
        <v>44393</v>
      </c>
      <c r="G13" s="10">
        <v>44392.105555555558</v>
      </c>
      <c r="H13" s="95" t="s">
        <v>151</v>
      </c>
      <c r="I13" t="s">
        <v>45</v>
      </c>
      <c r="J13" s="61">
        <f>MIN(Old85sTable[[#This Row],[RESOLVE DATE]]-Old85sTable[[#This Row],[HANDSHEET ISSUE DATE]],30)</f>
        <v>27</v>
      </c>
      <c r="K13"/>
      <c r="N13" s="55">
        <v>278</v>
      </c>
      <c r="O13" s="55">
        <v>29708</v>
      </c>
      <c r="P13" s="55">
        <v>7742</v>
      </c>
      <c r="Q13" s="55" t="str">
        <f t="shared" si="0"/>
        <v>278297087742</v>
      </c>
    </row>
    <row r="14" spans="1:17" x14ac:dyDescent="0.25">
      <c r="A14" t="s">
        <v>413</v>
      </c>
      <c r="B14" s="10">
        <v>44420</v>
      </c>
      <c r="C14" s="94" t="s">
        <v>935</v>
      </c>
      <c r="D14" s="94" t="s">
        <v>935</v>
      </c>
      <c r="E14" s="59" t="s">
        <v>942</v>
      </c>
      <c r="F14" s="10">
        <v>44408</v>
      </c>
      <c r="G14" s="10">
        <v>44407.29791666667</v>
      </c>
      <c r="H14" s="95" t="s">
        <v>222</v>
      </c>
      <c r="I14"/>
      <c r="J14" s="61">
        <f>MIN(Old85sTable[[#This Row],[RESOLVE DATE]]-Old85sTable[[#This Row],[HANDSHEET ISSUE DATE]],30)</f>
        <v>12</v>
      </c>
      <c r="K14"/>
      <c r="N14" s="55">
        <v>186</v>
      </c>
      <c r="O14" s="55">
        <v>23652</v>
      </c>
      <c r="P14">
        <v>5221</v>
      </c>
      <c r="Q14" s="55" t="str">
        <f t="shared" si="0"/>
        <v>186236525221</v>
      </c>
    </row>
    <row r="15" spans="1:17" x14ac:dyDescent="0.25">
      <c r="A15" t="s">
        <v>411</v>
      </c>
      <c r="B15" s="10">
        <v>44420</v>
      </c>
      <c r="C15" s="94" t="s">
        <v>935</v>
      </c>
      <c r="D15" s="94" t="s">
        <v>935</v>
      </c>
      <c r="E15" s="59" t="s">
        <v>943</v>
      </c>
      <c r="F15" s="10">
        <v>44411</v>
      </c>
      <c r="G15" s="10">
        <v>44410.274305555555</v>
      </c>
      <c r="H15" s="95" t="s">
        <v>37</v>
      </c>
      <c r="I15" t="s">
        <v>49</v>
      </c>
      <c r="J15" s="61">
        <f>MIN(Old85sTable[[#This Row],[RESOLVE DATE]]-Old85sTable[[#This Row],[HANDSHEET ISSUE DATE]],30)</f>
        <v>9</v>
      </c>
      <c r="K15"/>
      <c r="N15" s="55">
        <v>452</v>
      </c>
      <c r="O15" s="55">
        <v>17350</v>
      </c>
      <c r="P15">
        <v>2817</v>
      </c>
      <c r="Q15" s="55" t="str">
        <f t="shared" si="0"/>
        <v>452173502817</v>
      </c>
    </row>
    <row r="16" spans="1:17" x14ac:dyDescent="0.25">
      <c r="A16" t="s">
        <v>411</v>
      </c>
      <c r="B16" s="10">
        <v>44420</v>
      </c>
      <c r="C16" s="94" t="s">
        <v>935</v>
      </c>
      <c r="D16" s="94" t="s">
        <v>935</v>
      </c>
      <c r="E16" s="59" t="s">
        <v>944</v>
      </c>
      <c r="F16" s="10">
        <v>44411</v>
      </c>
      <c r="G16" s="10">
        <v>44410.06527777778</v>
      </c>
      <c r="H16" s="95" t="s">
        <v>36</v>
      </c>
      <c r="I16" t="s">
        <v>49</v>
      </c>
      <c r="J16" s="61">
        <f>MIN(Old85sTable[[#This Row],[RESOLVE DATE]]-Old85sTable[[#This Row],[HANDSHEET ISSUE DATE]],30)</f>
        <v>9</v>
      </c>
      <c r="K16"/>
      <c r="N16" s="55">
        <v>794</v>
      </c>
      <c r="O16" s="55">
        <v>78685</v>
      </c>
      <c r="P16">
        <v>5087</v>
      </c>
      <c r="Q16" s="55" t="str">
        <f t="shared" si="0"/>
        <v>794786855087</v>
      </c>
    </row>
    <row r="17" spans="1:17" x14ac:dyDescent="0.25">
      <c r="A17" t="s">
        <v>412</v>
      </c>
      <c r="B17" s="10">
        <v>44420</v>
      </c>
      <c r="C17" s="94" t="s">
        <v>935</v>
      </c>
      <c r="D17" s="94" t="s">
        <v>935</v>
      </c>
      <c r="E17" s="59" t="s">
        <v>945</v>
      </c>
      <c r="F17" s="10">
        <v>44411</v>
      </c>
      <c r="G17" s="10">
        <v>44410.244444444441</v>
      </c>
      <c r="H17" s="95" t="s">
        <v>233</v>
      </c>
      <c r="I17" t="s">
        <v>24</v>
      </c>
      <c r="J17" s="61">
        <f>MIN(Old85sTable[[#This Row],[RESOLVE DATE]]-Old85sTable[[#This Row],[HANDSHEET ISSUE DATE]],30)</f>
        <v>9</v>
      </c>
      <c r="K17"/>
      <c r="N17" s="55">
        <v>698</v>
      </c>
      <c r="O17" s="55">
        <v>97569</v>
      </c>
      <c r="P17">
        <v>2819</v>
      </c>
      <c r="Q17" s="55" t="str">
        <f t="shared" si="0"/>
        <v>698975692819</v>
      </c>
    </row>
    <row r="18" spans="1:17" x14ac:dyDescent="0.25">
      <c r="A18" t="s">
        <v>412</v>
      </c>
      <c r="B18" s="10">
        <v>44420</v>
      </c>
      <c r="C18" s="94" t="s">
        <v>935</v>
      </c>
      <c r="D18" s="94" t="s">
        <v>935</v>
      </c>
      <c r="E18" s="59" t="s">
        <v>946</v>
      </c>
      <c r="F18" s="10">
        <v>44411</v>
      </c>
      <c r="G18" s="10">
        <v>44410.054166666669</v>
      </c>
      <c r="H18" s="95" t="s">
        <v>61</v>
      </c>
      <c r="I18" t="s">
        <v>24</v>
      </c>
      <c r="J18" s="61">
        <f>MIN(Old85sTable[[#This Row],[RESOLVE DATE]]-Old85sTable[[#This Row],[HANDSHEET ISSUE DATE]],30)</f>
        <v>9</v>
      </c>
      <c r="K18"/>
      <c r="N18" s="55">
        <v>136570</v>
      </c>
      <c r="O18" s="55">
        <v>79173</v>
      </c>
      <c r="P18">
        <v>1930</v>
      </c>
      <c r="Q18" s="55" t="str">
        <f t="shared" si="0"/>
        <v>136570791731930</v>
      </c>
    </row>
    <row r="19" spans="1:17" x14ac:dyDescent="0.25">
      <c r="A19" t="s">
        <v>412</v>
      </c>
      <c r="B19" s="10">
        <v>44420</v>
      </c>
      <c r="C19" s="94" t="s">
        <v>935</v>
      </c>
      <c r="D19" s="94" t="s">
        <v>935</v>
      </c>
      <c r="E19" s="59" t="s">
        <v>947</v>
      </c>
      <c r="F19" s="10">
        <v>44411</v>
      </c>
      <c r="G19" s="10">
        <v>44410.07708333333</v>
      </c>
      <c r="H19" s="95" t="s">
        <v>61</v>
      </c>
      <c r="I19" t="s">
        <v>270</v>
      </c>
      <c r="J19" s="61">
        <f>MIN(Old85sTable[[#This Row],[RESOLVE DATE]]-Old85sTable[[#This Row],[HANDSHEET ISSUE DATE]],30)</f>
        <v>9</v>
      </c>
      <c r="K19"/>
      <c r="N19" s="55">
        <v>653</v>
      </c>
      <c r="O19" s="55">
        <v>52775</v>
      </c>
      <c r="P19">
        <v>5101</v>
      </c>
      <c r="Q19" s="55" t="str">
        <f t="shared" si="0"/>
        <v>653527755101</v>
      </c>
    </row>
    <row r="20" spans="1:17" x14ac:dyDescent="0.25">
      <c r="A20" t="s">
        <v>412</v>
      </c>
      <c r="B20" s="10">
        <v>44420</v>
      </c>
      <c r="C20" s="94" t="s">
        <v>935</v>
      </c>
      <c r="D20" s="94" t="s">
        <v>935</v>
      </c>
      <c r="E20" s="59" t="s">
        <v>948</v>
      </c>
      <c r="F20" s="10">
        <v>44411</v>
      </c>
      <c r="G20" s="10">
        <v>44410.076388888891</v>
      </c>
      <c r="H20" s="95" t="s">
        <v>61</v>
      </c>
      <c r="I20" t="s">
        <v>33</v>
      </c>
      <c r="J20" s="61">
        <f>MIN(Old85sTable[[#This Row],[RESOLVE DATE]]-Old85sTable[[#This Row],[HANDSHEET ISSUE DATE]],30)</f>
        <v>9</v>
      </c>
      <c r="K20"/>
      <c r="N20" s="55">
        <v>720</v>
      </c>
      <c r="O20" s="55">
        <v>78916</v>
      </c>
      <c r="P20">
        <v>5181</v>
      </c>
      <c r="Q20" s="55" t="str">
        <f t="shared" si="0"/>
        <v>720789165181</v>
      </c>
    </row>
    <row r="21" spans="1:17" x14ac:dyDescent="0.25">
      <c r="A21" t="s">
        <v>412</v>
      </c>
      <c r="B21" s="10">
        <v>44420</v>
      </c>
      <c r="C21" s="94" t="s">
        <v>935</v>
      </c>
      <c r="D21" s="94" t="s">
        <v>935</v>
      </c>
      <c r="E21" s="59" t="s">
        <v>949</v>
      </c>
      <c r="F21" s="10">
        <v>44411</v>
      </c>
      <c r="G21" s="10">
        <v>44410.079861111109</v>
      </c>
      <c r="H21" s="95" t="s">
        <v>61</v>
      </c>
      <c r="J21" s="61">
        <f>MIN(Old85sTable[[#This Row],[RESOLVE DATE]]-Old85sTable[[#This Row],[HANDSHEET ISSUE DATE]],30)</f>
        <v>9</v>
      </c>
      <c r="K21"/>
      <c r="N21" s="55">
        <v>501</v>
      </c>
      <c r="O21" s="55">
        <v>67107</v>
      </c>
      <c r="P21">
        <v>9036</v>
      </c>
      <c r="Q21" s="55" t="str">
        <f t="shared" si="0"/>
        <v>501671079036</v>
      </c>
    </row>
    <row r="22" spans="1:17" x14ac:dyDescent="0.25">
      <c r="A22" t="s">
        <v>412</v>
      </c>
      <c r="B22" s="10">
        <v>44420</v>
      </c>
      <c r="C22" s="94" t="s">
        <v>935</v>
      </c>
      <c r="D22" s="94" t="s">
        <v>935</v>
      </c>
      <c r="E22" s="59" t="s">
        <v>950</v>
      </c>
      <c r="F22" s="10">
        <v>44412</v>
      </c>
      <c r="G22" s="10">
        <v>44411.154861111114</v>
      </c>
      <c r="H22" s="95" t="s">
        <v>156</v>
      </c>
      <c r="I22" t="s">
        <v>52</v>
      </c>
      <c r="J22" s="61">
        <f>MIN(Old85sTable[[#This Row],[RESOLVE DATE]]-Old85sTable[[#This Row],[HANDSHEET ISSUE DATE]],30)</f>
        <v>8</v>
      </c>
      <c r="K22"/>
      <c r="N22" s="55">
        <v>585</v>
      </c>
      <c r="O22">
        <v>18442</v>
      </c>
      <c r="P22">
        <v>2812</v>
      </c>
      <c r="Q22" s="55" t="str">
        <f t="shared" si="0"/>
        <v>585184422812</v>
      </c>
    </row>
    <row r="23" spans="1:17" x14ac:dyDescent="0.25">
      <c r="A23" t="s">
        <v>412</v>
      </c>
      <c r="B23" s="10">
        <v>44420</v>
      </c>
      <c r="C23" s="94" t="s">
        <v>935</v>
      </c>
      <c r="D23" s="94" t="s">
        <v>935</v>
      </c>
      <c r="E23" s="59" t="s">
        <v>951</v>
      </c>
      <c r="F23" s="10">
        <v>44412</v>
      </c>
      <c r="G23" s="10">
        <v>44411.15625</v>
      </c>
      <c r="H23" s="95" t="s">
        <v>156</v>
      </c>
      <c r="I23" t="s">
        <v>24</v>
      </c>
      <c r="J23" s="61">
        <f>MIN(Old85sTable[[#This Row],[RESOLVE DATE]]-Old85sTable[[#This Row],[HANDSHEET ISSUE DATE]],30)</f>
        <v>8</v>
      </c>
      <c r="K23"/>
      <c r="N23" s="55">
        <v>655</v>
      </c>
      <c r="O23">
        <v>18442</v>
      </c>
      <c r="P23">
        <v>2812</v>
      </c>
      <c r="Q23" s="55" t="str">
        <f t="shared" si="0"/>
        <v>655184422812</v>
      </c>
    </row>
    <row r="24" spans="1:17" x14ac:dyDescent="0.25">
      <c r="A24" t="s">
        <v>412</v>
      </c>
      <c r="B24" s="10">
        <v>44420</v>
      </c>
      <c r="C24" s="94" t="s">
        <v>935</v>
      </c>
      <c r="D24" s="94" t="s">
        <v>935</v>
      </c>
      <c r="E24" s="59" t="s">
        <v>952</v>
      </c>
      <c r="F24" s="10">
        <v>44413</v>
      </c>
      <c r="G24" s="10">
        <v>44412.18472222222</v>
      </c>
      <c r="H24" s="95" t="s">
        <v>64</v>
      </c>
      <c r="I24" t="s">
        <v>24</v>
      </c>
      <c r="J24" s="61">
        <f>MIN(Old85sTable[[#This Row],[RESOLVE DATE]]-Old85sTable[[#This Row],[HANDSHEET ISSUE DATE]],30)</f>
        <v>7</v>
      </c>
      <c r="K24"/>
      <c r="N24" s="55">
        <v>565</v>
      </c>
      <c r="O24">
        <v>26570</v>
      </c>
      <c r="P24">
        <v>2820</v>
      </c>
      <c r="Q24" s="55" t="str">
        <f t="shared" si="0"/>
        <v>565265702820</v>
      </c>
    </row>
    <row r="25" spans="1:17" x14ac:dyDescent="0.25">
      <c r="A25" t="s">
        <v>411</v>
      </c>
      <c r="B25" s="10">
        <v>44420</v>
      </c>
      <c r="C25" s="94" t="s">
        <v>935</v>
      </c>
      <c r="D25" s="94" t="s">
        <v>935</v>
      </c>
      <c r="E25" s="59" t="s">
        <v>953</v>
      </c>
      <c r="F25" s="10">
        <v>44414</v>
      </c>
      <c r="G25" s="10">
        <v>44413.099305555559</v>
      </c>
      <c r="H25" s="95" t="s">
        <v>47</v>
      </c>
      <c r="I25" t="s">
        <v>24</v>
      </c>
      <c r="J25" s="61">
        <f>MIN(Old85sTable[[#This Row],[RESOLVE DATE]]-Old85sTable[[#This Row],[HANDSHEET ISSUE DATE]],30)</f>
        <v>6</v>
      </c>
      <c r="K25"/>
      <c r="N25" s="55">
        <v>763</v>
      </c>
      <c r="O25">
        <v>63047</v>
      </c>
      <c r="P25">
        <v>2820</v>
      </c>
      <c r="Q25" s="55" t="str">
        <f t="shared" si="0"/>
        <v>763630472820</v>
      </c>
    </row>
    <row r="26" spans="1:17" x14ac:dyDescent="0.25">
      <c r="A26" t="s">
        <v>416</v>
      </c>
      <c r="B26" s="10">
        <v>44420</v>
      </c>
      <c r="C26" s="94" t="s">
        <v>935</v>
      </c>
      <c r="D26" s="94" t="s">
        <v>935</v>
      </c>
      <c r="E26" s="59" t="s">
        <v>954</v>
      </c>
      <c r="F26" s="10">
        <v>44414</v>
      </c>
      <c r="G26" s="10">
        <v>44413.17083333333</v>
      </c>
      <c r="H26" s="95" t="s">
        <v>260</v>
      </c>
      <c r="I26" t="s">
        <v>140</v>
      </c>
      <c r="J26" s="61">
        <f>MIN(Old85sTable[[#This Row],[RESOLVE DATE]]-Old85sTable[[#This Row],[HANDSHEET ISSUE DATE]],30)</f>
        <v>6</v>
      </c>
      <c r="K26"/>
      <c r="N26" s="55">
        <v>476</v>
      </c>
      <c r="O26">
        <v>25057</v>
      </c>
      <c r="P26">
        <v>5215</v>
      </c>
      <c r="Q26" s="55" t="str">
        <f t="shared" si="0"/>
        <v>476250575215</v>
      </c>
    </row>
    <row r="27" spans="1:17" x14ac:dyDescent="0.25">
      <c r="A27" t="s">
        <v>414</v>
      </c>
      <c r="B27" s="10">
        <v>44420</v>
      </c>
      <c r="C27" s="94" t="s">
        <v>935</v>
      </c>
      <c r="D27" s="94" t="s">
        <v>935</v>
      </c>
      <c r="E27" s="59" t="s">
        <v>955</v>
      </c>
      <c r="F27" s="10">
        <v>44414</v>
      </c>
      <c r="G27" s="10">
        <v>44413.162499999999</v>
      </c>
      <c r="H27" s="95" t="s">
        <v>261</v>
      </c>
      <c r="I27" t="s">
        <v>33</v>
      </c>
      <c r="J27" s="61">
        <f>MIN(Old85sTable[[#This Row],[RESOLVE DATE]]-Old85sTable[[#This Row],[HANDSHEET ISSUE DATE]],30)</f>
        <v>6</v>
      </c>
      <c r="K27"/>
      <c r="N27" s="55">
        <v>367</v>
      </c>
      <c r="O27">
        <v>32500</v>
      </c>
      <c r="P27">
        <v>3841</v>
      </c>
      <c r="Q27" s="55" t="str">
        <f t="shared" si="0"/>
        <v>367325003841</v>
      </c>
    </row>
    <row r="28" spans="1:17" x14ac:dyDescent="0.25">
      <c r="A28" t="s">
        <v>413</v>
      </c>
      <c r="B28" s="10">
        <v>44420</v>
      </c>
      <c r="C28" s="94" t="s">
        <v>935</v>
      </c>
      <c r="D28" s="94" t="s">
        <v>935</v>
      </c>
      <c r="E28" s="59" t="s">
        <v>1052</v>
      </c>
      <c r="F28" s="10">
        <v>44414</v>
      </c>
      <c r="G28" s="10">
        <v>44413.224305555559</v>
      </c>
      <c r="H28" s="95" t="s">
        <v>222</v>
      </c>
      <c r="J28" s="61">
        <f>MIN(Old85sTable[[#This Row],[RESOLVE DATE]]-Old85sTable[[#This Row],[HANDSHEET ISSUE DATE]],30)</f>
        <v>6</v>
      </c>
      <c r="K28"/>
      <c r="N28" s="55">
        <v>72</v>
      </c>
      <c r="O28">
        <v>64114</v>
      </c>
      <c r="P28">
        <v>2820</v>
      </c>
      <c r="Q28" s="55" t="str">
        <f t="shared" si="0"/>
        <v>72641142820</v>
      </c>
    </row>
    <row r="29" spans="1:17" x14ac:dyDescent="0.25">
      <c r="A29" t="s">
        <v>413</v>
      </c>
      <c r="B29" s="10">
        <v>44420</v>
      </c>
      <c r="C29" s="94" t="s">
        <v>935</v>
      </c>
      <c r="D29" s="94" t="s">
        <v>935</v>
      </c>
      <c r="E29" s="59" t="s">
        <v>956</v>
      </c>
      <c r="F29" s="10">
        <v>44414</v>
      </c>
      <c r="G29" s="10">
        <v>44413.298611111109</v>
      </c>
      <c r="H29" s="95" t="s">
        <v>222</v>
      </c>
      <c r="I29" t="s">
        <v>25</v>
      </c>
      <c r="J29" s="61">
        <f>MIN(Old85sTable[[#This Row],[RESOLVE DATE]]-Old85sTable[[#This Row],[HANDSHEET ISSUE DATE]],30)</f>
        <v>6</v>
      </c>
      <c r="K29"/>
      <c r="N29" s="55">
        <v>778</v>
      </c>
      <c r="O29">
        <v>16889</v>
      </c>
      <c r="P29">
        <v>5257</v>
      </c>
      <c r="Q29" s="55" t="str">
        <f t="shared" si="0"/>
        <v>778168895257</v>
      </c>
    </row>
    <row r="30" spans="1:17" x14ac:dyDescent="0.25">
      <c r="A30" t="s">
        <v>412</v>
      </c>
      <c r="B30" s="10">
        <v>44420</v>
      </c>
      <c r="C30" s="94" t="s">
        <v>935</v>
      </c>
      <c r="D30" s="94" t="s">
        <v>935</v>
      </c>
      <c r="E30" s="59" t="s">
        <v>957</v>
      </c>
      <c r="F30" s="10">
        <v>44414</v>
      </c>
      <c r="G30" s="10">
        <v>44413.182638888888</v>
      </c>
      <c r="H30" s="95" t="s">
        <v>262</v>
      </c>
      <c r="I30" t="s">
        <v>24</v>
      </c>
      <c r="J30" s="61">
        <f>MIN(Old85sTable[[#This Row],[RESOLVE DATE]]-Old85sTable[[#This Row],[HANDSHEET ISSUE DATE]],30)</f>
        <v>6</v>
      </c>
      <c r="K30"/>
      <c r="N30" s="55">
        <v>769</v>
      </c>
      <c r="O30">
        <v>55399</v>
      </c>
      <c r="P30">
        <v>3841</v>
      </c>
      <c r="Q30" s="55" t="str">
        <f t="shared" si="0"/>
        <v>769553993841</v>
      </c>
    </row>
    <row r="31" spans="1:17" x14ac:dyDescent="0.25">
      <c r="A31" t="s">
        <v>412</v>
      </c>
      <c r="B31" s="10">
        <v>44420</v>
      </c>
      <c r="C31" s="94" t="s">
        <v>935</v>
      </c>
      <c r="D31" s="94" t="s">
        <v>935</v>
      </c>
      <c r="E31" s="59" t="s">
        <v>958</v>
      </c>
      <c r="F31" s="10">
        <v>44414</v>
      </c>
      <c r="G31" s="10">
        <v>44413.223611111112</v>
      </c>
      <c r="H31" s="95" t="s">
        <v>262</v>
      </c>
      <c r="I31" t="s">
        <v>25</v>
      </c>
      <c r="J31" s="61">
        <f>MIN(Old85sTable[[#This Row],[RESOLVE DATE]]-Old85sTable[[#This Row],[HANDSHEET ISSUE DATE]],30)</f>
        <v>6</v>
      </c>
      <c r="K31"/>
      <c r="N31" s="55">
        <v>564</v>
      </c>
      <c r="O31">
        <v>72965</v>
      </c>
      <c r="P31">
        <v>9290</v>
      </c>
      <c r="Q31" s="55" t="str">
        <f t="shared" si="0"/>
        <v>564729659290</v>
      </c>
    </row>
    <row r="32" spans="1:17" x14ac:dyDescent="0.25">
      <c r="A32" t="s">
        <v>410</v>
      </c>
      <c r="B32" s="10">
        <v>44420</v>
      </c>
      <c r="C32" s="94" t="s">
        <v>935</v>
      </c>
      <c r="D32" s="94" t="s">
        <v>935</v>
      </c>
      <c r="E32" s="59" t="s">
        <v>1053</v>
      </c>
      <c r="F32" s="10">
        <v>44414</v>
      </c>
      <c r="G32" s="10">
        <v>44413.106944444444</v>
      </c>
      <c r="H32" s="95" t="s">
        <v>62</v>
      </c>
      <c r="I32" t="s">
        <v>25</v>
      </c>
      <c r="J32" s="61">
        <f>MIN(Old85sTable[[#This Row],[RESOLVE DATE]]-Old85sTable[[#This Row],[HANDSHEET ISSUE DATE]],30)</f>
        <v>6</v>
      </c>
      <c r="K32"/>
      <c r="N32" s="55">
        <v>30</v>
      </c>
      <c r="O32">
        <v>43069</v>
      </c>
      <c r="P32">
        <v>7744</v>
      </c>
      <c r="Q32" s="55" t="str">
        <f t="shared" si="0"/>
        <v>30430697744</v>
      </c>
    </row>
    <row r="33" spans="1:17" x14ac:dyDescent="0.25">
      <c r="A33" t="s">
        <v>413</v>
      </c>
      <c r="B33" s="10">
        <v>44420</v>
      </c>
      <c r="C33" s="94" t="s">
        <v>935</v>
      </c>
      <c r="D33" s="94" t="s">
        <v>935</v>
      </c>
      <c r="E33" s="59" t="s">
        <v>959</v>
      </c>
      <c r="F33" s="10">
        <v>44414</v>
      </c>
      <c r="G33" s="10">
        <v>44413.244444444441</v>
      </c>
      <c r="H33" s="95" t="s">
        <v>263</v>
      </c>
      <c r="I33" t="s">
        <v>45</v>
      </c>
      <c r="J33" s="61">
        <f>MIN(Old85sTable[[#This Row],[RESOLVE DATE]]-Old85sTable[[#This Row],[HANDSHEET ISSUE DATE]],30)</f>
        <v>6</v>
      </c>
      <c r="K33"/>
      <c r="N33" s="55">
        <v>100</v>
      </c>
      <c r="O33">
        <v>66416</v>
      </c>
      <c r="P33">
        <v>5260</v>
      </c>
      <c r="Q33" s="55" t="str">
        <f t="shared" si="0"/>
        <v>100664165260</v>
      </c>
    </row>
    <row r="34" spans="1:17" x14ac:dyDescent="0.25">
      <c r="A34" t="s">
        <v>414</v>
      </c>
      <c r="B34" s="10">
        <v>44420</v>
      </c>
      <c r="C34" s="94" t="s">
        <v>935</v>
      </c>
      <c r="D34" s="94" t="s">
        <v>935</v>
      </c>
      <c r="E34" s="59" t="s">
        <v>960</v>
      </c>
      <c r="F34" s="10">
        <v>44415</v>
      </c>
      <c r="G34" s="10">
        <v>44414.166666666664</v>
      </c>
      <c r="H34" s="95" t="s">
        <v>261</v>
      </c>
      <c r="I34" t="s">
        <v>45</v>
      </c>
      <c r="J34" s="61">
        <f>MIN(Old85sTable[[#This Row],[RESOLVE DATE]]-Old85sTable[[#This Row],[HANDSHEET ISSUE DATE]],30)</f>
        <v>5</v>
      </c>
      <c r="K34"/>
      <c r="N34" s="55">
        <v>725</v>
      </c>
      <c r="O34">
        <v>52118</v>
      </c>
      <c r="P34">
        <v>5297</v>
      </c>
      <c r="Q34" s="55" t="str">
        <f t="shared" si="0"/>
        <v>725521185297</v>
      </c>
    </row>
    <row r="35" spans="1:17" x14ac:dyDescent="0.25">
      <c r="A35" t="s">
        <v>414</v>
      </c>
      <c r="B35" s="10">
        <v>44420</v>
      </c>
      <c r="C35" s="94" t="s">
        <v>935</v>
      </c>
      <c r="D35" s="94" t="s">
        <v>935</v>
      </c>
      <c r="E35" s="59" t="s">
        <v>1054</v>
      </c>
      <c r="F35" s="10">
        <v>44415</v>
      </c>
      <c r="G35" s="10">
        <v>44414.225694444445</v>
      </c>
      <c r="H35" s="95" t="s">
        <v>55</v>
      </c>
      <c r="I35" t="s">
        <v>45</v>
      </c>
      <c r="J35" s="61">
        <f>MIN(Old85sTable[[#This Row],[RESOLVE DATE]]-Old85sTable[[#This Row],[HANDSHEET ISSUE DATE]],30)</f>
        <v>5</v>
      </c>
      <c r="K35"/>
      <c r="N35">
        <v>90</v>
      </c>
      <c r="O35">
        <v>37686</v>
      </c>
      <c r="P35">
        <v>7744</v>
      </c>
      <c r="Q35" s="55" t="str">
        <f t="shared" si="0"/>
        <v>90376867744</v>
      </c>
    </row>
    <row r="36" spans="1:17" x14ac:dyDescent="0.25">
      <c r="A36" t="s">
        <v>415</v>
      </c>
      <c r="B36" s="10">
        <v>44420</v>
      </c>
      <c r="C36" s="94" t="s">
        <v>935</v>
      </c>
      <c r="D36" s="94" t="s">
        <v>935</v>
      </c>
      <c r="E36" s="59" t="s">
        <v>961</v>
      </c>
      <c r="F36" s="10">
        <v>44415</v>
      </c>
      <c r="G36" s="10">
        <v>44414.10833333333</v>
      </c>
      <c r="H36" s="95" t="s">
        <v>269</v>
      </c>
      <c r="I36" t="s">
        <v>45</v>
      </c>
      <c r="J36" s="61">
        <f>MIN(Old85sTable[[#This Row],[RESOLVE DATE]]-Old85sTable[[#This Row],[HANDSHEET ISSUE DATE]],30)</f>
        <v>5</v>
      </c>
      <c r="K36"/>
      <c r="N36">
        <v>175645</v>
      </c>
      <c r="O36">
        <v>89500</v>
      </c>
      <c r="P36">
        <v>9973</v>
      </c>
      <c r="Q36" s="55" t="str">
        <f t="shared" si="0"/>
        <v>175645895009973</v>
      </c>
    </row>
    <row r="37" spans="1:17" x14ac:dyDescent="0.25">
      <c r="A37" t="s">
        <v>411</v>
      </c>
      <c r="B37" s="10">
        <v>44420</v>
      </c>
      <c r="C37" s="94" t="s">
        <v>935</v>
      </c>
      <c r="D37" s="94" t="s">
        <v>935</v>
      </c>
      <c r="E37" s="59" t="s">
        <v>1055</v>
      </c>
      <c r="F37" s="10">
        <v>44418</v>
      </c>
      <c r="G37" s="10">
        <v>44417.15347222222</v>
      </c>
      <c r="H37" s="95" t="s">
        <v>275</v>
      </c>
      <c r="J37" s="61">
        <f>MIN(Old85sTable[[#This Row],[RESOLVE DATE]]-Old85sTable[[#This Row],[HANDSHEET ISSUE DATE]],30)</f>
        <v>2</v>
      </c>
      <c r="K37"/>
      <c r="N37">
        <v>165502</v>
      </c>
      <c r="O37">
        <v>51085</v>
      </c>
      <c r="P37">
        <v>385</v>
      </c>
      <c r="Q37" s="55" t="str">
        <f t="shared" si="0"/>
        <v>16550251085385</v>
      </c>
    </row>
    <row r="38" spans="1:17" x14ac:dyDescent="0.25">
      <c r="A38" t="s">
        <v>411</v>
      </c>
      <c r="B38" s="10">
        <v>44420</v>
      </c>
      <c r="C38" s="94" t="s">
        <v>935</v>
      </c>
      <c r="D38" s="94" t="s">
        <v>935</v>
      </c>
      <c r="E38" s="59" t="s">
        <v>962</v>
      </c>
      <c r="F38" s="10">
        <v>44418</v>
      </c>
      <c r="G38" s="10">
        <v>44417.286111111112</v>
      </c>
      <c r="H38" s="95" t="s">
        <v>63</v>
      </c>
      <c r="I38" t="s">
        <v>45</v>
      </c>
      <c r="J38" s="61">
        <f>MIN(Old85sTable[[#This Row],[RESOLVE DATE]]-Old85sTable[[#This Row],[HANDSHEET ISSUE DATE]],30)</f>
        <v>2</v>
      </c>
      <c r="K38"/>
      <c r="N38">
        <v>870</v>
      </c>
      <c r="O38">
        <v>67071</v>
      </c>
      <c r="P38">
        <v>5124</v>
      </c>
      <c r="Q38" s="55" t="str">
        <f t="shared" si="0"/>
        <v>870670715124</v>
      </c>
    </row>
    <row r="39" spans="1:17" x14ac:dyDescent="0.25">
      <c r="A39" t="s">
        <v>415</v>
      </c>
      <c r="B39" s="10">
        <v>44420</v>
      </c>
      <c r="C39" s="94" t="s">
        <v>935</v>
      </c>
      <c r="D39" s="94" t="s">
        <v>935</v>
      </c>
      <c r="E39" s="59" t="s">
        <v>963</v>
      </c>
      <c r="F39" s="10">
        <v>44418</v>
      </c>
      <c r="G39" s="10">
        <v>44417.272222222222</v>
      </c>
      <c r="H39" s="95" t="s">
        <v>276</v>
      </c>
      <c r="I39" t="s">
        <v>45</v>
      </c>
      <c r="J39" s="61">
        <f>MIN(Old85sTable[[#This Row],[RESOLVE DATE]]-Old85sTable[[#This Row],[HANDSHEET ISSUE DATE]],30)</f>
        <v>2</v>
      </c>
      <c r="K39"/>
      <c r="N39">
        <v>775</v>
      </c>
      <c r="O39">
        <v>94470</v>
      </c>
      <c r="P39">
        <v>2821</v>
      </c>
      <c r="Q39" s="55" t="str">
        <f t="shared" si="0"/>
        <v>775944702821</v>
      </c>
    </row>
    <row r="40" spans="1:17" x14ac:dyDescent="0.25">
      <c r="A40" t="s">
        <v>410</v>
      </c>
      <c r="B40" s="10">
        <v>44420</v>
      </c>
      <c r="C40" s="94" t="s">
        <v>935</v>
      </c>
      <c r="D40" s="94" t="s">
        <v>935</v>
      </c>
      <c r="E40" s="59" t="s">
        <v>1056</v>
      </c>
      <c r="F40" s="10">
        <v>44418</v>
      </c>
      <c r="G40" s="10">
        <v>44417.097916666666</v>
      </c>
      <c r="H40" s="95" t="s">
        <v>277</v>
      </c>
      <c r="I40" t="s">
        <v>45</v>
      </c>
      <c r="J40" s="61">
        <f>MIN(Old85sTable[[#This Row],[RESOLVE DATE]]-Old85sTable[[#This Row],[HANDSHEET ISSUE DATE]],30)</f>
        <v>2</v>
      </c>
      <c r="K40"/>
      <c r="N40">
        <v>122284</v>
      </c>
      <c r="O40">
        <v>68841</v>
      </c>
      <c r="P40">
        <v>390</v>
      </c>
      <c r="Q40" s="55" t="str">
        <f t="shared" si="0"/>
        <v>12228468841390</v>
      </c>
    </row>
    <row r="41" spans="1:17" x14ac:dyDescent="0.25">
      <c r="A41" t="s">
        <v>410</v>
      </c>
      <c r="B41" s="10">
        <v>44420</v>
      </c>
      <c r="C41" s="94" t="s">
        <v>935</v>
      </c>
      <c r="D41" s="94" t="s">
        <v>935</v>
      </c>
      <c r="E41" s="59" t="s">
        <v>964</v>
      </c>
      <c r="F41" s="10">
        <v>44418</v>
      </c>
      <c r="G41" s="10">
        <v>44417.079861111109</v>
      </c>
      <c r="H41" s="95" t="s">
        <v>277</v>
      </c>
      <c r="I41" t="s">
        <v>25</v>
      </c>
      <c r="J41" s="61">
        <f>MIN(Old85sTable[[#This Row],[RESOLVE DATE]]-Old85sTable[[#This Row],[HANDSHEET ISSUE DATE]],30)</f>
        <v>2</v>
      </c>
      <c r="K41"/>
      <c r="N41">
        <v>544</v>
      </c>
      <c r="O41">
        <v>35844</v>
      </c>
      <c r="P41">
        <v>2822</v>
      </c>
      <c r="Q41" s="55" t="str">
        <f t="shared" si="0"/>
        <v>544358442822</v>
      </c>
    </row>
    <row r="42" spans="1:17" x14ac:dyDescent="0.25">
      <c r="A42" t="s">
        <v>410</v>
      </c>
      <c r="B42" s="10">
        <v>44420</v>
      </c>
      <c r="C42" s="94" t="s">
        <v>935</v>
      </c>
      <c r="D42" s="94" t="s">
        <v>935</v>
      </c>
      <c r="E42" s="59" t="s">
        <v>965</v>
      </c>
      <c r="F42" s="10">
        <v>44418</v>
      </c>
      <c r="G42" s="10">
        <v>44417.12222222222</v>
      </c>
      <c r="H42" s="95" t="s">
        <v>277</v>
      </c>
      <c r="I42" t="s">
        <v>281</v>
      </c>
      <c r="J42" s="61">
        <f>MIN(Old85sTable[[#This Row],[RESOLVE DATE]]-Old85sTable[[#This Row],[HANDSHEET ISSUE DATE]],30)</f>
        <v>2</v>
      </c>
      <c r="K42"/>
      <c r="N42">
        <v>849</v>
      </c>
      <c r="O42">
        <v>78856</v>
      </c>
      <c r="P42">
        <v>2822</v>
      </c>
      <c r="Q42" s="55" t="str">
        <f t="shared" si="0"/>
        <v>849788562822</v>
      </c>
    </row>
    <row r="43" spans="1:17" x14ac:dyDescent="0.25">
      <c r="A43" t="s">
        <v>410</v>
      </c>
      <c r="B43" s="10">
        <v>44420</v>
      </c>
      <c r="C43" s="94" t="s">
        <v>935</v>
      </c>
      <c r="D43" s="94" t="s">
        <v>935</v>
      </c>
      <c r="E43" s="59" t="s">
        <v>966</v>
      </c>
      <c r="F43" s="10">
        <v>44418</v>
      </c>
      <c r="G43" s="10">
        <v>44417.125694444447</v>
      </c>
      <c r="H43" s="95" t="s">
        <v>277</v>
      </c>
      <c r="I43" t="s">
        <v>301</v>
      </c>
      <c r="J43" s="61">
        <f>MIN(Old85sTable[[#This Row],[RESOLVE DATE]]-Old85sTable[[#This Row],[HANDSHEET ISSUE DATE]],30)</f>
        <v>2</v>
      </c>
      <c r="K43"/>
      <c r="N43">
        <v>747</v>
      </c>
      <c r="O43">
        <v>22949</v>
      </c>
      <c r="P43">
        <v>5091</v>
      </c>
      <c r="Q43" s="55" t="str">
        <f t="shared" si="0"/>
        <v>747229495091</v>
      </c>
    </row>
    <row r="44" spans="1:17" x14ac:dyDescent="0.25">
      <c r="A44" t="s">
        <v>410</v>
      </c>
      <c r="B44" s="10">
        <v>44420</v>
      </c>
      <c r="C44" s="94" t="s">
        <v>935</v>
      </c>
      <c r="D44" s="94" t="s">
        <v>935</v>
      </c>
      <c r="E44" s="59" t="s">
        <v>1057</v>
      </c>
      <c r="F44" s="10">
        <v>44418</v>
      </c>
      <c r="G44" s="10">
        <v>44417.146527777775</v>
      </c>
      <c r="H44" s="95" t="s">
        <v>277</v>
      </c>
      <c r="I44" t="s">
        <v>25</v>
      </c>
      <c r="J44" s="61">
        <f>MIN(Old85sTable[[#This Row],[RESOLVE DATE]]-Old85sTable[[#This Row],[HANDSHEET ISSUE DATE]],30)</f>
        <v>2</v>
      </c>
      <c r="K44"/>
      <c r="N44">
        <v>2</v>
      </c>
      <c r="O44">
        <v>79054</v>
      </c>
      <c r="P44">
        <v>5181</v>
      </c>
      <c r="Q44" s="55" t="str">
        <f t="shared" si="0"/>
        <v>2790545181</v>
      </c>
    </row>
    <row r="45" spans="1:17" x14ac:dyDescent="0.25">
      <c r="A45" t="s">
        <v>410</v>
      </c>
      <c r="B45" s="10">
        <v>44420</v>
      </c>
      <c r="C45" s="94" t="s">
        <v>935</v>
      </c>
      <c r="D45" s="94" t="s">
        <v>935</v>
      </c>
      <c r="E45" s="59" t="s">
        <v>967</v>
      </c>
      <c r="F45" s="10">
        <v>44418</v>
      </c>
      <c r="G45" s="10">
        <v>44417.205555555556</v>
      </c>
      <c r="H45" s="95" t="s">
        <v>277</v>
      </c>
      <c r="J45" s="61">
        <f>MIN(Old85sTable[[#This Row],[RESOLVE DATE]]-Old85sTable[[#This Row],[HANDSHEET ISSUE DATE]],30)</f>
        <v>2</v>
      </c>
      <c r="K45"/>
      <c r="N45">
        <v>928</v>
      </c>
      <c r="O45">
        <v>79142</v>
      </c>
      <c r="P45">
        <v>5181</v>
      </c>
      <c r="Q45" s="55" t="str">
        <f t="shared" si="0"/>
        <v>928791425181</v>
      </c>
    </row>
    <row r="46" spans="1:17" x14ac:dyDescent="0.25">
      <c r="A46" t="s">
        <v>410</v>
      </c>
      <c r="B46" s="10">
        <v>44420</v>
      </c>
      <c r="C46" s="94" t="s">
        <v>935</v>
      </c>
      <c r="D46" s="94" t="s">
        <v>935</v>
      </c>
      <c r="E46" s="59" t="s">
        <v>968</v>
      </c>
      <c r="F46" s="10">
        <v>44418</v>
      </c>
      <c r="G46" s="10">
        <v>44417.206250000003</v>
      </c>
      <c r="H46" s="95" t="s">
        <v>277</v>
      </c>
      <c r="I46" t="s">
        <v>32</v>
      </c>
      <c r="J46" s="61">
        <f>MIN(Old85sTable[[#This Row],[RESOLVE DATE]]-Old85sTable[[#This Row],[HANDSHEET ISSUE DATE]],30)</f>
        <v>2</v>
      </c>
      <c r="K46"/>
      <c r="N46">
        <v>313</v>
      </c>
      <c r="O46">
        <v>10757</v>
      </c>
      <c r="P46">
        <v>5226</v>
      </c>
      <c r="Q46" s="55" t="str">
        <f t="shared" si="0"/>
        <v>313107575226</v>
      </c>
    </row>
    <row r="47" spans="1:17" x14ac:dyDescent="0.25">
      <c r="A47" t="s">
        <v>410</v>
      </c>
      <c r="B47" s="10">
        <v>44420</v>
      </c>
      <c r="C47" s="94" t="s">
        <v>935</v>
      </c>
      <c r="D47" s="94" t="s">
        <v>935</v>
      </c>
      <c r="E47" s="59" t="s">
        <v>969</v>
      </c>
      <c r="F47" s="10">
        <v>44418</v>
      </c>
      <c r="G47" s="10">
        <v>44417.146527777775</v>
      </c>
      <c r="H47" s="95" t="s">
        <v>277</v>
      </c>
      <c r="I47" t="s">
        <v>33</v>
      </c>
      <c r="J47" s="61">
        <f>MIN(Old85sTable[[#This Row],[RESOLVE DATE]]-Old85sTable[[#This Row],[HANDSHEET ISSUE DATE]],30)</f>
        <v>2</v>
      </c>
      <c r="K47"/>
      <c r="N47">
        <v>638</v>
      </c>
      <c r="O47">
        <v>45892</v>
      </c>
      <c r="P47">
        <v>5251</v>
      </c>
      <c r="Q47" s="55" t="str">
        <f t="shared" si="0"/>
        <v>638458925251</v>
      </c>
    </row>
    <row r="48" spans="1:17" x14ac:dyDescent="0.25">
      <c r="A48" t="s">
        <v>413</v>
      </c>
      <c r="B48" s="10">
        <v>44420</v>
      </c>
      <c r="C48" s="94" t="s">
        <v>935</v>
      </c>
      <c r="D48" s="94" t="s">
        <v>935</v>
      </c>
      <c r="E48" s="59" t="s">
        <v>970</v>
      </c>
      <c r="F48" s="10">
        <v>44418</v>
      </c>
      <c r="G48" s="10">
        <v>44417.195138888892</v>
      </c>
      <c r="H48" s="95" t="s">
        <v>278</v>
      </c>
      <c r="I48" t="s">
        <v>25</v>
      </c>
      <c r="J48" s="61">
        <f>MIN(Old85sTable[[#This Row],[RESOLVE DATE]]-Old85sTable[[#This Row],[HANDSHEET ISSUE DATE]],30)</f>
        <v>2</v>
      </c>
      <c r="K48"/>
      <c r="N48">
        <v>516</v>
      </c>
      <c r="O48">
        <v>30292</v>
      </c>
      <c r="P48">
        <v>1436</v>
      </c>
      <c r="Q48" s="55" t="str">
        <f t="shared" si="0"/>
        <v>516302921436</v>
      </c>
    </row>
    <row r="49" spans="1:17" x14ac:dyDescent="0.25">
      <c r="A49" t="s">
        <v>410</v>
      </c>
      <c r="B49" s="10">
        <v>44420</v>
      </c>
      <c r="C49" s="94" t="s">
        <v>935</v>
      </c>
      <c r="D49" s="94" t="s">
        <v>935</v>
      </c>
      <c r="E49" s="59" t="s">
        <v>971</v>
      </c>
      <c r="F49" s="10">
        <v>44418</v>
      </c>
      <c r="G49" s="10">
        <v>44417.094444444447</v>
      </c>
      <c r="H49" s="95" t="s">
        <v>46</v>
      </c>
      <c r="I49" t="s">
        <v>24</v>
      </c>
      <c r="J49" s="61">
        <f>MIN(Old85sTable[[#This Row],[RESOLVE DATE]]-Old85sTable[[#This Row],[HANDSHEET ISSUE DATE]],30)</f>
        <v>2</v>
      </c>
      <c r="K49"/>
      <c r="N49">
        <v>115</v>
      </c>
      <c r="O49">
        <v>86317</v>
      </c>
      <c r="P49">
        <v>5263</v>
      </c>
      <c r="Q49" s="55" t="str">
        <f t="shared" si="0"/>
        <v>115863175263</v>
      </c>
    </row>
    <row r="50" spans="1:17" x14ac:dyDescent="0.25">
      <c r="A50" t="s">
        <v>414</v>
      </c>
      <c r="B50" s="10">
        <v>44420</v>
      </c>
      <c r="C50" s="94" t="s">
        <v>935</v>
      </c>
      <c r="D50" s="94" t="s">
        <v>935</v>
      </c>
      <c r="E50" s="59" t="s">
        <v>1058</v>
      </c>
      <c r="F50" s="10">
        <v>44420</v>
      </c>
      <c r="G50" s="10">
        <v>44419.241666666669</v>
      </c>
      <c r="H50" s="95" t="s">
        <v>287</v>
      </c>
      <c r="I50"/>
      <c r="J50" s="61">
        <f>MIN(Old85sTable[[#This Row],[RESOLVE DATE]]-Old85sTable[[#This Row],[HANDSHEET ISSUE DATE]],30)</f>
        <v>0</v>
      </c>
      <c r="K50"/>
      <c r="N50">
        <v>960</v>
      </c>
      <c r="O50">
        <v>4863</v>
      </c>
      <c r="P50">
        <v>5265</v>
      </c>
      <c r="Q50" s="55" t="str">
        <f t="shared" si="0"/>
        <v>96048635265</v>
      </c>
    </row>
    <row r="51" spans="1:17" x14ac:dyDescent="0.25">
      <c r="A51" t="s">
        <v>411</v>
      </c>
      <c r="B51" s="10">
        <v>44421</v>
      </c>
      <c r="C51" s="94" t="s">
        <v>935</v>
      </c>
      <c r="D51" s="94" t="s">
        <v>935</v>
      </c>
      <c r="E51" s="59" t="s">
        <v>972</v>
      </c>
      <c r="F51" s="10">
        <v>44421</v>
      </c>
      <c r="G51" s="10">
        <v>44420.297222222223</v>
      </c>
      <c r="H51" s="95" t="s">
        <v>43</v>
      </c>
      <c r="I51" t="s">
        <v>44</v>
      </c>
      <c r="J51" s="61">
        <f>MIN(Old85sTable[[#This Row],[RESOLVE DATE]]-Old85sTable[[#This Row],[HANDSHEET ISSUE DATE]],30)</f>
        <v>0</v>
      </c>
      <c r="K51"/>
      <c r="N51">
        <v>154</v>
      </c>
      <c r="O51">
        <v>58501</v>
      </c>
      <c r="P51">
        <v>2822</v>
      </c>
      <c r="Q51" s="55" t="str">
        <f t="shared" si="0"/>
        <v>154585012822</v>
      </c>
    </row>
    <row r="52" spans="1:17" x14ac:dyDescent="0.25">
      <c r="A52" t="s">
        <v>411</v>
      </c>
      <c r="B52" s="10">
        <v>44421</v>
      </c>
      <c r="C52" s="94" t="s">
        <v>935</v>
      </c>
      <c r="D52" s="94" t="s">
        <v>935</v>
      </c>
      <c r="E52" s="59" t="s">
        <v>973</v>
      </c>
      <c r="F52" s="10">
        <v>44365</v>
      </c>
      <c r="G52" s="10">
        <v>44364.171527777777</v>
      </c>
      <c r="H52" s="95" t="s">
        <v>31</v>
      </c>
      <c r="I52" t="s">
        <v>45</v>
      </c>
      <c r="J52" s="61">
        <f>MIN(Old85sTable[[#This Row],[RESOLVE DATE]]-Old85sTable[[#This Row],[HANDSHEET ISSUE DATE]],30)</f>
        <v>30</v>
      </c>
      <c r="K52"/>
      <c r="N52">
        <v>970</v>
      </c>
      <c r="O52">
        <v>42415</v>
      </c>
      <c r="P52">
        <v>5085</v>
      </c>
      <c r="Q52" s="55" t="str">
        <f t="shared" si="0"/>
        <v>970424155085</v>
      </c>
    </row>
    <row r="53" spans="1:17" x14ac:dyDescent="0.25">
      <c r="A53" t="s">
        <v>411</v>
      </c>
      <c r="B53" s="10">
        <v>44421</v>
      </c>
      <c r="C53" s="94" t="s">
        <v>935</v>
      </c>
      <c r="D53" s="94" t="s">
        <v>935</v>
      </c>
      <c r="E53" s="59" t="s">
        <v>974</v>
      </c>
      <c r="F53" s="10">
        <v>44365</v>
      </c>
      <c r="G53" s="10">
        <v>44364.246527777781</v>
      </c>
      <c r="H53" s="95" t="s">
        <v>31</v>
      </c>
      <c r="I53" t="s">
        <v>53</v>
      </c>
      <c r="J53" s="61">
        <f>MIN(Old85sTable[[#This Row],[RESOLVE DATE]]-Old85sTable[[#This Row],[HANDSHEET ISSUE DATE]],30)</f>
        <v>30</v>
      </c>
      <c r="K53"/>
      <c r="N53">
        <v>676</v>
      </c>
      <c r="O53">
        <v>91064</v>
      </c>
      <c r="P53">
        <v>5169</v>
      </c>
      <c r="Q53" s="55" t="str">
        <f t="shared" si="0"/>
        <v>676910645169</v>
      </c>
    </row>
    <row r="54" spans="1:17" x14ac:dyDescent="0.25">
      <c r="A54" t="s">
        <v>411</v>
      </c>
      <c r="B54" s="10">
        <v>44421</v>
      </c>
      <c r="C54" s="94" t="s">
        <v>935</v>
      </c>
      <c r="D54" s="94" t="s">
        <v>935</v>
      </c>
      <c r="E54" s="59" t="s">
        <v>975</v>
      </c>
      <c r="F54" s="10">
        <v>44369</v>
      </c>
      <c r="G54" s="10">
        <v>44368.142361111109</v>
      </c>
      <c r="H54" s="95" t="s">
        <v>28</v>
      </c>
      <c r="I54" t="s">
        <v>196</v>
      </c>
      <c r="J54" s="61">
        <f>MIN(Old85sTable[[#This Row],[RESOLVE DATE]]-Old85sTable[[#This Row],[HANDSHEET ISSUE DATE]],30)</f>
        <v>30</v>
      </c>
      <c r="K54"/>
      <c r="N54">
        <v>284</v>
      </c>
      <c r="O54">
        <v>76860</v>
      </c>
      <c r="P54">
        <v>4393</v>
      </c>
      <c r="Q54" s="55" t="str">
        <f t="shared" si="0"/>
        <v>284768604393</v>
      </c>
    </row>
    <row r="55" spans="1:17" x14ac:dyDescent="0.25">
      <c r="A55" t="s">
        <v>411</v>
      </c>
      <c r="B55" s="10">
        <v>44421</v>
      </c>
      <c r="C55" s="94" t="s">
        <v>935</v>
      </c>
      <c r="D55" s="94" t="s">
        <v>935</v>
      </c>
      <c r="E55" s="59" t="s">
        <v>976</v>
      </c>
      <c r="F55" s="10">
        <v>44369</v>
      </c>
      <c r="G55" s="10">
        <v>44368.144444444442</v>
      </c>
      <c r="H55" s="95" t="s">
        <v>28</v>
      </c>
      <c r="J55" s="61">
        <f>MIN(Old85sTable[[#This Row],[RESOLVE DATE]]-Old85sTable[[#This Row],[HANDSHEET ISSUE DATE]],30)</f>
        <v>30</v>
      </c>
      <c r="K55"/>
      <c r="N55">
        <v>606</v>
      </c>
      <c r="O55">
        <v>80081</v>
      </c>
      <c r="P55">
        <v>5051</v>
      </c>
      <c r="Q55" s="55" t="str">
        <f t="shared" si="0"/>
        <v>606800815051</v>
      </c>
    </row>
    <row r="56" spans="1:17" x14ac:dyDescent="0.25">
      <c r="A56" t="s">
        <v>411</v>
      </c>
      <c r="B56" s="10">
        <v>44421</v>
      </c>
      <c r="C56" s="94" t="s">
        <v>935</v>
      </c>
      <c r="D56" s="94" t="s">
        <v>935</v>
      </c>
      <c r="E56" s="59" t="s">
        <v>977</v>
      </c>
      <c r="F56" s="10">
        <v>44373</v>
      </c>
      <c r="G56" s="10">
        <v>44372.163194444445</v>
      </c>
      <c r="H56" s="95" t="s">
        <v>36</v>
      </c>
      <c r="I56" t="s">
        <v>196</v>
      </c>
      <c r="J56" s="61">
        <f>MIN(Old85sTable[[#This Row],[RESOLVE DATE]]-Old85sTable[[#This Row],[HANDSHEET ISSUE DATE]],30)</f>
        <v>30</v>
      </c>
      <c r="K56"/>
      <c r="N56">
        <v>462</v>
      </c>
      <c r="O56">
        <v>75577</v>
      </c>
      <c r="P56">
        <v>9282</v>
      </c>
      <c r="Q56" s="55" t="str">
        <f t="shared" si="0"/>
        <v>462755779282</v>
      </c>
    </row>
    <row r="57" spans="1:17" x14ac:dyDescent="0.25">
      <c r="A57" t="s">
        <v>411</v>
      </c>
      <c r="B57" s="10">
        <v>44421</v>
      </c>
      <c r="C57" s="94" t="s">
        <v>935</v>
      </c>
      <c r="D57" s="94" t="s">
        <v>935</v>
      </c>
      <c r="E57" s="59" t="s">
        <v>978</v>
      </c>
      <c r="F57" s="10">
        <v>44377</v>
      </c>
      <c r="G57" s="10">
        <v>44376.225694444445</v>
      </c>
      <c r="H57" s="95" t="s">
        <v>43</v>
      </c>
      <c r="I57" t="s">
        <v>196</v>
      </c>
      <c r="J57" s="61">
        <f>MIN(Old85sTable[[#This Row],[RESOLVE DATE]]-Old85sTable[[#This Row],[HANDSHEET ISSUE DATE]],30)</f>
        <v>30</v>
      </c>
      <c r="K57"/>
      <c r="N57">
        <v>408</v>
      </c>
      <c r="O57">
        <v>98466</v>
      </c>
      <c r="P57">
        <v>5118</v>
      </c>
      <c r="Q57" s="55" t="str">
        <f t="shared" si="0"/>
        <v>408984665118</v>
      </c>
    </row>
    <row r="58" spans="1:17" x14ac:dyDescent="0.25">
      <c r="A58" t="s">
        <v>411</v>
      </c>
      <c r="B58" s="10">
        <v>44421</v>
      </c>
      <c r="C58" s="94" t="s">
        <v>935</v>
      </c>
      <c r="D58" s="94" t="s">
        <v>935</v>
      </c>
      <c r="E58" s="59" t="s">
        <v>979</v>
      </c>
      <c r="F58" s="10">
        <v>44377</v>
      </c>
      <c r="G58" s="10">
        <v>44376.143750000003</v>
      </c>
      <c r="H58" s="95" t="s">
        <v>28</v>
      </c>
      <c r="I58"/>
      <c r="J58" s="61">
        <f>MIN(Old85sTable[[#This Row],[RESOLVE DATE]]-Old85sTable[[#This Row],[HANDSHEET ISSUE DATE]],30)</f>
        <v>30</v>
      </c>
      <c r="K58"/>
      <c r="N58">
        <v>868</v>
      </c>
      <c r="O58">
        <v>44214</v>
      </c>
      <c r="P58">
        <v>5074</v>
      </c>
      <c r="Q58" s="55" t="str">
        <f t="shared" si="0"/>
        <v>868442145074</v>
      </c>
    </row>
    <row r="59" spans="1:17" x14ac:dyDescent="0.25">
      <c r="A59" t="s">
        <v>411</v>
      </c>
      <c r="B59" s="10">
        <v>44421</v>
      </c>
      <c r="C59" s="94" t="s">
        <v>935</v>
      </c>
      <c r="D59" s="94" t="s">
        <v>935</v>
      </c>
      <c r="E59" s="59" t="s">
        <v>980</v>
      </c>
      <c r="F59" s="10">
        <v>44384</v>
      </c>
      <c r="G59" s="10">
        <v>44383.234722222223</v>
      </c>
      <c r="H59" s="95" t="s">
        <v>28</v>
      </c>
      <c r="I59" t="s">
        <v>25</v>
      </c>
      <c r="J59" s="61">
        <f>MIN(Old85sTable[[#This Row],[RESOLVE DATE]]-Old85sTable[[#This Row],[HANDSHEET ISSUE DATE]],30)</f>
        <v>30</v>
      </c>
      <c r="K59"/>
      <c r="N59">
        <v>921</v>
      </c>
      <c r="O59">
        <v>76865</v>
      </c>
      <c r="P59">
        <v>3836</v>
      </c>
      <c r="Q59" s="55" t="str">
        <f t="shared" si="0"/>
        <v>921768653836</v>
      </c>
    </row>
    <row r="60" spans="1:17" x14ac:dyDescent="0.25">
      <c r="A60" t="s">
        <v>411</v>
      </c>
      <c r="B60" s="10">
        <v>44421</v>
      </c>
      <c r="C60" s="94" t="s">
        <v>935</v>
      </c>
      <c r="D60" s="94" t="s">
        <v>935</v>
      </c>
      <c r="E60" s="59" t="s">
        <v>981</v>
      </c>
      <c r="F60" s="10">
        <v>44390</v>
      </c>
      <c r="G60" s="10">
        <v>44389.072916666664</v>
      </c>
      <c r="H60" s="95" t="s">
        <v>36</v>
      </c>
      <c r="I60" t="s">
        <v>25</v>
      </c>
      <c r="J60" s="61">
        <f>MIN(Old85sTable[[#This Row],[RESOLVE DATE]]-Old85sTable[[#This Row],[HANDSHEET ISSUE DATE]],30)</f>
        <v>30</v>
      </c>
      <c r="K60"/>
      <c r="N60">
        <v>76394</v>
      </c>
      <c r="O60">
        <v>1570</v>
      </c>
      <c r="P60">
        <v>781</v>
      </c>
      <c r="Q60" s="55" t="str">
        <f t="shared" si="0"/>
        <v>763941570781</v>
      </c>
    </row>
    <row r="61" spans="1:17" x14ac:dyDescent="0.25">
      <c r="A61" t="s">
        <v>411</v>
      </c>
      <c r="B61" s="10">
        <v>44421</v>
      </c>
      <c r="C61" s="94" t="s">
        <v>935</v>
      </c>
      <c r="D61" s="94" t="s">
        <v>935</v>
      </c>
      <c r="E61" s="59" t="s">
        <v>982</v>
      </c>
      <c r="F61" s="10">
        <v>44390</v>
      </c>
      <c r="G61" s="10">
        <v>44389.125</v>
      </c>
      <c r="H61" s="95" t="s">
        <v>36</v>
      </c>
      <c r="I61" t="s">
        <v>279</v>
      </c>
      <c r="J61" s="61">
        <f>MIN(Old85sTable[[#This Row],[RESOLVE DATE]]-Old85sTable[[#This Row],[HANDSHEET ISSUE DATE]],30)</f>
        <v>30</v>
      </c>
      <c r="K61"/>
      <c r="N61">
        <v>667</v>
      </c>
      <c r="O61">
        <v>54053</v>
      </c>
      <c r="P61">
        <v>5240</v>
      </c>
      <c r="Q61" s="55" t="str">
        <f t="shared" si="0"/>
        <v>667540535240</v>
      </c>
    </row>
    <row r="62" spans="1:17" x14ac:dyDescent="0.25">
      <c r="A62" t="s">
        <v>411</v>
      </c>
      <c r="B62" s="10">
        <v>44421</v>
      </c>
      <c r="C62" s="94" t="s">
        <v>935</v>
      </c>
      <c r="D62" s="94" t="s">
        <v>935</v>
      </c>
      <c r="E62" s="59" t="s">
        <v>983</v>
      </c>
      <c r="F62" s="10">
        <v>44390</v>
      </c>
      <c r="G62" s="10">
        <v>44389.203472222223</v>
      </c>
      <c r="H62" s="95" t="s">
        <v>36</v>
      </c>
      <c r="I62" t="s">
        <v>25</v>
      </c>
      <c r="J62" s="61">
        <f>MIN(Old85sTable[[#This Row],[RESOLVE DATE]]-Old85sTable[[#This Row],[HANDSHEET ISSUE DATE]],30)</f>
        <v>30</v>
      </c>
      <c r="K62"/>
      <c r="N62">
        <v>924</v>
      </c>
      <c r="O62">
        <v>54055</v>
      </c>
      <c r="P62">
        <v>5240</v>
      </c>
      <c r="Q62" s="55" t="str">
        <f t="shared" si="0"/>
        <v>924540555240</v>
      </c>
    </row>
    <row r="63" spans="1:17" x14ac:dyDescent="0.25">
      <c r="A63" t="s">
        <v>411</v>
      </c>
      <c r="B63" s="10">
        <v>44421</v>
      </c>
      <c r="C63" s="94" t="s">
        <v>935</v>
      </c>
      <c r="D63" s="94" t="s">
        <v>935</v>
      </c>
      <c r="E63" s="59" t="s">
        <v>1059</v>
      </c>
      <c r="F63" s="10">
        <v>44408</v>
      </c>
      <c r="G63" s="10">
        <v>44407</v>
      </c>
      <c r="H63" s="95" t="s">
        <v>223</v>
      </c>
      <c r="J63" s="61">
        <f>MIN(Old85sTable[[#This Row],[RESOLVE DATE]]-Old85sTable[[#This Row],[HANDSHEET ISSUE DATE]],30)</f>
        <v>13</v>
      </c>
      <c r="K63"/>
      <c r="N63">
        <v>674017</v>
      </c>
      <c r="O63">
        <v>68845</v>
      </c>
      <c r="P63">
        <v>390</v>
      </c>
      <c r="Q63" s="55" t="str">
        <f t="shared" si="0"/>
        <v>67401768845390</v>
      </c>
    </row>
    <row r="64" spans="1:17" x14ac:dyDescent="0.25">
      <c r="A64" t="s">
        <v>412</v>
      </c>
      <c r="B64" s="10">
        <v>44421</v>
      </c>
      <c r="C64" s="94" t="s">
        <v>935</v>
      </c>
      <c r="D64" s="94" t="s">
        <v>935</v>
      </c>
      <c r="E64" s="59" t="s">
        <v>984</v>
      </c>
      <c r="F64" s="10">
        <v>44418</v>
      </c>
      <c r="G64" s="10">
        <v>44417.212500000001</v>
      </c>
      <c r="H64" s="95" t="s">
        <v>233</v>
      </c>
      <c r="I64" t="s">
        <v>300</v>
      </c>
      <c r="J64" s="61">
        <f>MIN(Old85sTable[[#This Row],[RESOLVE DATE]]-Old85sTable[[#This Row],[HANDSHEET ISSUE DATE]],30)</f>
        <v>3</v>
      </c>
      <c r="K64"/>
      <c r="N64">
        <v>732515</v>
      </c>
      <c r="O64">
        <v>10469</v>
      </c>
      <c r="P64">
        <v>5167</v>
      </c>
      <c r="Q64" s="55" t="str">
        <f t="shared" si="0"/>
        <v>732515104695167</v>
      </c>
    </row>
    <row r="65" spans="1:17" x14ac:dyDescent="0.25">
      <c r="A65" t="s">
        <v>411</v>
      </c>
      <c r="B65" s="10">
        <v>44421</v>
      </c>
      <c r="C65" s="94" t="s">
        <v>935</v>
      </c>
      <c r="D65" s="94" t="s">
        <v>935</v>
      </c>
      <c r="E65" s="59" t="s">
        <v>985</v>
      </c>
      <c r="F65" s="10">
        <v>44418</v>
      </c>
      <c r="G65" s="10">
        <v>44417.136805555558</v>
      </c>
      <c r="H65" s="95" t="s">
        <v>43</v>
      </c>
      <c r="I65" t="s">
        <v>316</v>
      </c>
      <c r="J65" s="61">
        <f>MIN(Old85sTable[[#This Row],[RESOLVE DATE]]-Old85sTable[[#This Row],[HANDSHEET ISSUE DATE]],30)</f>
        <v>3</v>
      </c>
      <c r="K65"/>
      <c r="N65">
        <v>374</v>
      </c>
      <c r="O65">
        <v>93818</v>
      </c>
      <c r="P65">
        <v>9169</v>
      </c>
      <c r="Q65" s="55" t="str">
        <f t="shared" si="0"/>
        <v>374938189169</v>
      </c>
    </row>
    <row r="66" spans="1:17" x14ac:dyDescent="0.25">
      <c r="A66" t="s">
        <v>414</v>
      </c>
      <c r="B66" s="10">
        <v>44421</v>
      </c>
      <c r="C66" s="94" t="s">
        <v>935</v>
      </c>
      <c r="D66" s="94" t="s">
        <v>935</v>
      </c>
      <c r="E66" s="59" t="s">
        <v>986</v>
      </c>
      <c r="F66" s="10">
        <v>44418</v>
      </c>
      <c r="G66" s="10">
        <v>44417.255555555559</v>
      </c>
      <c r="H66" s="95" t="s">
        <v>261</v>
      </c>
      <c r="I66" t="s">
        <v>300</v>
      </c>
      <c r="J66" s="61">
        <f>MIN(Old85sTable[[#This Row],[RESOLVE DATE]]-Old85sTable[[#This Row],[HANDSHEET ISSUE DATE]],30)</f>
        <v>3</v>
      </c>
      <c r="K66"/>
      <c r="N66">
        <v>257</v>
      </c>
      <c r="O66">
        <v>58871</v>
      </c>
      <c r="P66">
        <v>5223</v>
      </c>
      <c r="Q66" s="55" t="str">
        <f t="shared" si="0"/>
        <v>257588715223</v>
      </c>
    </row>
    <row r="67" spans="1:17" x14ac:dyDescent="0.25">
      <c r="A67" t="s">
        <v>411</v>
      </c>
      <c r="B67" s="10">
        <v>44421</v>
      </c>
      <c r="C67" s="94" t="s">
        <v>935</v>
      </c>
      <c r="D67" s="94" t="s">
        <v>935</v>
      </c>
      <c r="E67" s="59" t="s">
        <v>1060</v>
      </c>
      <c r="F67" s="10">
        <v>44418</v>
      </c>
      <c r="G67" s="10">
        <v>44417.152777777781</v>
      </c>
      <c r="H67" s="95" t="s">
        <v>43</v>
      </c>
      <c r="I67" t="s">
        <v>302</v>
      </c>
      <c r="J67" s="61">
        <f>MIN(Old85sTable[[#This Row],[RESOLVE DATE]]-Old85sTable[[#This Row],[HANDSHEET ISSUE DATE]],30)</f>
        <v>3</v>
      </c>
      <c r="K67"/>
      <c r="N67">
        <v>36</v>
      </c>
      <c r="O67">
        <v>34518</v>
      </c>
      <c r="P67">
        <v>5243</v>
      </c>
      <c r="Q67" s="55" t="str">
        <f t="shared" si="0"/>
        <v>36345185243</v>
      </c>
    </row>
    <row r="68" spans="1:17" x14ac:dyDescent="0.25">
      <c r="A68" t="s">
        <v>411</v>
      </c>
      <c r="B68" s="10">
        <v>44421</v>
      </c>
      <c r="C68" s="94" t="s">
        <v>935</v>
      </c>
      <c r="D68" s="94" t="s">
        <v>935</v>
      </c>
      <c r="E68" s="59" t="s">
        <v>987</v>
      </c>
      <c r="F68" s="10">
        <v>44420</v>
      </c>
      <c r="G68" s="10">
        <v>44418.159722222219</v>
      </c>
      <c r="H68" s="95" t="s">
        <v>286</v>
      </c>
      <c r="I68" t="s">
        <v>300</v>
      </c>
      <c r="J68" s="61">
        <f>MIN(Old85sTable[[#This Row],[RESOLVE DATE]]-Old85sTable[[#This Row],[HANDSHEET ISSUE DATE]],30)</f>
        <v>1</v>
      </c>
      <c r="K68"/>
      <c r="N68">
        <v>672</v>
      </c>
      <c r="O68">
        <v>72408</v>
      </c>
      <c r="P68">
        <v>5047</v>
      </c>
      <c r="Q68" s="55" t="str">
        <f t="shared" ref="Q68:Q131" si="1">_xlfn.CONCAT(N68,O68,P68)</f>
        <v>672724085047</v>
      </c>
    </row>
    <row r="69" spans="1:17" x14ac:dyDescent="0.25">
      <c r="A69" t="s">
        <v>415</v>
      </c>
      <c r="B69" s="10">
        <v>44421</v>
      </c>
      <c r="C69" s="94" t="s">
        <v>935</v>
      </c>
      <c r="D69" s="94" t="s">
        <v>935</v>
      </c>
      <c r="E69" s="59" t="s">
        <v>988</v>
      </c>
      <c r="F69" s="10">
        <v>44420</v>
      </c>
      <c r="G69" s="10">
        <v>44419.182638888888</v>
      </c>
      <c r="H69" s="95" t="s">
        <v>288</v>
      </c>
      <c r="I69" t="s">
        <v>318</v>
      </c>
      <c r="J69" s="61">
        <f>MIN(Old85sTable[[#This Row],[RESOLVE DATE]]-Old85sTable[[#This Row],[HANDSHEET ISSUE DATE]],30)</f>
        <v>1</v>
      </c>
      <c r="K69"/>
      <c r="N69">
        <v>113</v>
      </c>
      <c r="O69">
        <v>58823</v>
      </c>
      <c r="P69">
        <v>2822</v>
      </c>
      <c r="Q69" s="55" t="str">
        <f t="shared" si="1"/>
        <v>113588232822</v>
      </c>
    </row>
    <row r="70" spans="1:17" x14ac:dyDescent="0.25">
      <c r="A70" t="s">
        <v>415</v>
      </c>
      <c r="B70" s="10">
        <v>44421</v>
      </c>
      <c r="C70" s="94" t="s">
        <v>935</v>
      </c>
      <c r="D70" s="94" t="s">
        <v>935</v>
      </c>
      <c r="E70" s="59" t="s">
        <v>989</v>
      </c>
      <c r="F70" s="10">
        <v>44420</v>
      </c>
      <c r="G70" s="10">
        <v>44419.177777777775</v>
      </c>
      <c r="H70" s="95" t="s">
        <v>288</v>
      </c>
      <c r="I70" t="s">
        <v>318</v>
      </c>
      <c r="J70" s="61">
        <f>MIN(Old85sTable[[#This Row],[RESOLVE DATE]]-Old85sTable[[#This Row],[HANDSHEET ISSUE DATE]],30)</f>
        <v>1</v>
      </c>
      <c r="K70"/>
      <c r="N70">
        <v>110</v>
      </c>
      <c r="O70">
        <v>18832</v>
      </c>
      <c r="P70">
        <v>3842</v>
      </c>
      <c r="Q70" s="55" t="str">
        <f t="shared" si="1"/>
        <v>110188323842</v>
      </c>
    </row>
    <row r="71" spans="1:17" x14ac:dyDescent="0.25">
      <c r="A71" t="s">
        <v>413</v>
      </c>
      <c r="B71" s="10">
        <v>44421</v>
      </c>
      <c r="C71" s="94" t="s">
        <v>935</v>
      </c>
      <c r="D71" s="94" t="s">
        <v>935</v>
      </c>
      <c r="E71" s="59" t="s">
        <v>990</v>
      </c>
      <c r="F71" s="10">
        <v>44420</v>
      </c>
      <c r="G71" s="10">
        <v>44419.156944444447</v>
      </c>
      <c r="H71" s="95" t="s">
        <v>289</v>
      </c>
      <c r="I71" t="s">
        <v>317</v>
      </c>
      <c r="J71" s="61">
        <f>MIN(Old85sTable[[#This Row],[RESOLVE DATE]]-Old85sTable[[#This Row],[HANDSHEET ISSUE DATE]],30)</f>
        <v>1</v>
      </c>
      <c r="K71"/>
      <c r="N71">
        <v>169</v>
      </c>
      <c r="O71">
        <v>96949</v>
      </c>
      <c r="P71">
        <v>2821</v>
      </c>
      <c r="Q71" s="55" t="str">
        <f t="shared" si="1"/>
        <v>169969492821</v>
      </c>
    </row>
    <row r="72" spans="1:17" x14ac:dyDescent="0.25">
      <c r="A72" t="s">
        <v>412</v>
      </c>
      <c r="B72" s="10">
        <v>44421</v>
      </c>
      <c r="C72" s="94" t="s">
        <v>935</v>
      </c>
      <c r="D72" s="94" t="s">
        <v>935</v>
      </c>
      <c r="E72" s="59" t="s">
        <v>1061</v>
      </c>
      <c r="F72" s="10">
        <v>44420</v>
      </c>
      <c r="G72" s="10">
        <v>44419.331250000003</v>
      </c>
      <c r="H72" s="95" t="s">
        <v>290</v>
      </c>
      <c r="I72" t="s">
        <v>318</v>
      </c>
      <c r="J72" s="61">
        <f>MIN(Old85sTable[[#This Row],[RESOLVE DATE]]-Old85sTable[[#This Row],[HANDSHEET ISSUE DATE]],30)</f>
        <v>1</v>
      </c>
      <c r="K72"/>
      <c r="N72">
        <v>933</v>
      </c>
      <c r="O72">
        <v>4613</v>
      </c>
      <c r="P72">
        <v>2823</v>
      </c>
      <c r="Q72" s="55" t="str">
        <f t="shared" si="1"/>
        <v>93346132823</v>
      </c>
    </row>
    <row r="73" spans="1:17" x14ac:dyDescent="0.25">
      <c r="A73" t="s">
        <v>415</v>
      </c>
      <c r="B73" s="10">
        <v>44421</v>
      </c>
      <c r="C73" s="94" t="s">
        <v>935</v>
      </c>
      <c r="D73" s="94" t="s">
        <v>935</v>
      </c>
      <c r="E73" s="59" t="s">
        <v>991</v>
      </c>
      <c r="F73" s="10">
        <v>44420</v>
      </c>
      <c r="G73" s="10">
        <v>44419.199999999997</v>
      </c>
      <c r="H73" s="95" t="s">
        <v>190</v>
      </c>
      <c r="I73" t="s">
        <v>318</v>
      </c>
      <c r="J73" s="61">
        <f>MIN(Old85sTable[[#This Row],[RESOLVE DATE]]-Old85sTable[[#This Row],[HANDSHEET ISSUE DATE]],30)</f>
        <v>1</v>
      </c>
      <c r="K73"/>
      <c r="N73">
        <v>699</v>
      </c>
      <c r="O73">
        <v>48029</v>
      </c>
      <c r="P73">
        <v>1742</v>
      </c>
      <c r="Q73" s="55" t="str">
        <f t="shared" si="1"/>
        <v>699480291742</v>
      </c>
    </row>
    <row r="74" spans="1:17" x14ac:dyDescent="0.25">
      <c r="A74" t="s">
        <v>411</v>
      </c>
      <c r="B74" s="10">
        <v>44421</v>
      </c>
      <c r="C74" s="94" t="s">
        <v>935</v>
      </c>
      <c r="D74" s="94" t="s">
        <v>935</v>
      </c>
      <c r="E74" s="59" t="s">
        <v>992</v>
      </c>
      <c r="F74" s="10">
        <v>44421</v>
      </c>
      <c r="G74" s="10">
        <v>44420.106249999997</v>
      </c>
      <c r="H74" s="95" t="s">
        <v>43</v>
      </c>
      <c r="J74" s="61">
        <f>MIN(Old85sTable[[#This Row],[RESOLVE DATE]]-Old85sTable[[#This Row],[HANDSHEET ISSUE DATE]],30)</f>
        <v>0</v>
      </c>
      <c r="K74"/>
      <c r="N74">
        <v>893</v>
      </c>
      <c r="O74">
        <v>13195</v>
      </c>
      <c r="P74">
        <v>9224</v>
      </c>
      <c r="Q74" s="55" t="str">
        <f t="shared" si="1"/>
        <v>893131959224</v>
      </c>
    </row>
    <row r="75" spans="1:17" x14ac:dyDescent="0.25">
      <c r="A75" t="s">
        <v>415</v>
      </c>
      <c r="B75" s="10">
        <v>44421</v>
      </c>
      <c r="C75" s="94" t="s">
        <v>935</v>
      </c>
      <c r="D75" s="94" t="s">
        <v>935</v>
      </c>
      <c r="E75" s="59" t="s">
        <v>993</v>
      </c>
      <c r="F75" s="10">
        <v>44421</v>
      </c>
      <c r="G75" s="10">
        <v>44420.270833333336</v>
      </c>
      <c r="H75" s="95" t="s">
        <v>269</v>
      </c>
      <c r="I75" t="s">
        <v>26</v>
      </c>
      <c r="J75" s="61">
        <f>MIN(Old85sTable[[#This Row],[RESOLVE DATE]]-Old85sTable[[#This Row],[HANDSHEET ISSUE DATE]],30)</f>
        <v>0</v>
      </c>
      <c r="K75"/>
      <c r="N75">
        <v>214668</v>
      </c>
      <c r="O75">
        <v>68115</v>
      </c>
      <c r="P75">
        <v>4284</v>
      </c>
      <c r="Q75" s="55" t="str">
        <f t="shared" si="1"/>
        <v>214668681154284</v>
      </c>
    </row>
    <row r="76" spans="1:17" x14ac:dyDescent="0.25">
      <c r="A76" t="s">
        <v>413</v>
      </c>
      <c r="B76" s="10">
        <v>44421</v>
      </c>
      <c r="C76" s="94" t="s">
        <v>935</v>
      </c>
      <c r="D76" s="94" t="s">
        <v>935</v>
      </c>
      <c r="E76" s="59" t="s">
        <v>1062</v>
      </c>
      <c r="F76" s="10">
        <v>44421</v>
      </c>
      <c r="G76" s="10">
        <v>44420.121527777781</v>
      </c>
      <c r="H76" s="95" t="s">
        <v>315</v>
      </c>
      <c r="I76" t="s">
        <v>240</v>
      </c>
      <c r="J76" s="61">
        <f>MIN(Old85sTable[[#This Row],[RESOLVE DATE]]-Old85sTable[[#This Row],[HANDSHEET ISSUE DATE]],30)</f>
        <v>0</v>
      </c>
      <c r="K76"/>
      <c r="N76">
        <v>0</v>
      </c>
      <c r="O76">
        <v>65236</v>
      </c>
      <c r="P76">
        <v>5165</v>
      </c>
      <c r="Q76" s="55" t="str">
        <f t="shared" si="1"/>
        <v>0652365165</v>
      </c>
    </row>
    <row r="77" spans="1:17" x14ac:dyDescent="0.25">
      <c r="A77" t="s">
        <v>409</v>
      </c>
      <c r="B77" s="10">
        <v>44421</v>
      </c>
      <c r="C77" s="94" t="s">
        <v>935</v>
      </c>
      <c r="D77" s="94" t="s">
        <v>935</v>
      </c>
      <c r="E77" s="59" t="s">
        <v>994</v>
      </c>
      <c r="F77" s="10">
        <v>44421</v>
      </c>
      <c r="G77" s="10">
        <v>44420.135416666664</v>
      </c>
      <c r="H77" s="95" t="s">
        <v>34</v>
      </c>
      <c r="I77" t="s">
        <v>25</v>
      </c>
      <c r="J77" s="61">
        <f>MIN(Old85sTable[[#This Row],[RESOLVE DATE]]-Old85sTable[[#This Row],[HANDSHEET ISSUE DATE]],30)</f>
        <v>0</v>
      </c>
      <c r="K77"/>
      <c r="N77">
        <v>255</v>
      </c>
      <c r="O77">
        <v>24138</v>
      </c>
      <c r="P77">
        <v>2822</v>
      </c>
      <c r="Q77" s="55" t="str">
        <f t="shared" si="1"/>
        <v>255241382822</v>
      </c>
    </row>
    <row r="78" spans="1:17" x14ac:dyDescent="0.25">
      <c r="A78" t="s">
        <v>409</v>
      </c>
      <c r="B78" s="10">
        <v>44421</v>
      </c>
      <c r="C78" s="94" t="s">
        <v>935</v>
      </c>
      <c r="D78" s="94" t="s">
        <v>935</v>
      </c>
      <c r="E78" s="59" t="s">
        <v>995</v>
      </c>
      <c r="F78" s="10">
        <v>44421</v>
      </c>
      <c r="G78" s="10">
        <v>44420.177777777775</v>
      </c>
      <c r="H78" s="95" t="s">
        <v>34</v>
      </c>
      <c r="I78" t="s">
        <v>303</v>
      </c>
      <c r="J78" s="61">
        <f>MIN(Old85sTable[[#This Row],[RESOLVE DATE]]-Old85sTable[[#This Row],[HANDSHEET ISSUE DATE]],30)</f>
        <v>0</v>
      </c>
      <c r="K78"/>
      <c r="N78">
        <v>897</v>
      </c>
      <c r="O78">
        <v>31476</v>
      </c>
      <c r="P78">
        <v>9646</v>
      </c>
      <c r="Q78" s="55" t="str">
        <f t="shared" si="1"/>
        <v>897314769646</v>
      </c>
    </row>
    <row r="79" spans="1:17" x14ac:dyDescent="0.25">
      <c r="A79" t="s">
        <v>411</v>
      </c>
      <c r="B79" s="10">
        <v>44422</v>
      </c>
      <c r="C79" s="94" t="s">
        <v>935</v>
      </c>
      <c r="D79" s="94" t="s">
        <v>935</v>
      </c>
      <c r="E79" s="59" t="s">
        <v>996</v>
      </c>
      <c r="F79" s="10">
        <v>44404</v>
      </c>
      <c r="G79" s="10">
        <v>44403.318055555559</v>
      </c>
      <c r="H79" s="95" t="s">
        <v>28</v>
      </c>
      <c r="I79"/>
      <c r="J79" s="61">
        <f>MIN(Old85sTable[[#This Row],[RESOLVE DATE]]-Old85sTable[[#This Row],[HANDSHEET ISSUE DATE]],30)</f>
        <v>18</v>
      </c>
      <c r="K79"/>
      <c r="N79">
        <v>167</v>
      </c>
      <c r="O79">
        <v>98428</v>
      </c>
      <c r="P79">
        <v>2816</v>
      </c>
      <c r="Q79" s="55" t="str">
        <f t="shared" si="1"/>
        <v>167984282816</v>
      </c>
    </row>
    <row r="80" spans="1:17" x14ac:dyDescent="0.25">
      <c r="A80" t="s">
        <v>411</v>
      </c>
      <c r="B80" s="10">
        <v>44422</v>
      </c>
      <c r="C80" s="94" t="s">
        <v>935</v>
      </c>
      <c r="D80" s="94" t="s">
        <v>935</v>
      </c>
      <c r="E80" s="59" t="s">
        <v>997</v>
      </c>
      <c r="F80" s="10">
        <v>44397</v>
      </c>
      <c r="G80" s="10">
        <v>44396.084027777775</v>
      </c>
      <c r="H80" s="95" t="s">
        <v>63</v>
      </c>
      <c r="I80" t="s">
        <v>25</v>
      </c>
      <c r="J80" s="61">
        <f>MIN(Old85sTable[[#This Row],[RESOLVE DATE]]-Old85sTable[[#This Row],[HANDSHEET ISSUE DATE]],30)</f>
        <v>25</v>
      </c>
      <c r="K80"/>
      <c r="N80">
        <v>117</v>
      </c>
      <c r="O80">
        <v>84916</v>
      </c>
      <c r="P80">
        <v>9659</v>
      </c>
      <c r="Q80" s="55" t="str">
        <f t="shared" si="1"/>
        <v>117849169659</v>
      </c>
    </row>
    <row r="81" spans="1:17" x14ac:dyDescent="0.25">
      <c r="A81" t="s">
        <v>411</v>
      </c>
      <c r="B81" s="10">
        <v>44422</v>
      </c>
      <c r="C81" s="94" t="s">
        <v>935</v>
      </c>
      <c r="D81" s="94" t="s">
        <v>935</v>
      </c>
      <c r="E81" s="59" t="s">
        <v>998</v>
      </c>
      <c r="F81" s="10">
        <v>44412</v>
      </c>
      <c r="G81" s="10">
        <v>44411.186805555553</v>
      </c>
      <c r="H81" s="95" t="s">
        <v>36</v>
      </c>
      <c r="I81" t="s">
        <v>65</v>
      </c>
      <c r="J81" s="61">
        <f>MIN(Old85sTable[[#This Row],[RESOLVE DATE]]-Old85sTable[[#This Row],[HANDSHEET ISSUE DATE]],30)</f>
        <v>10</v>
      </c>
      <c r="K81"/>
      <c r="N81">
        <v>114</v>
      </c>
      <c r="O81">
        <v>79989</v>
      </c>
      <c r="P81">
        <v>2813</v>
      </c>
      <c r="Q81" s="55" t="str">
        <f t="shared" si="1"/>
        <v>114799892813</v>
      </c>
    </row>
    <row r="82" spans="1:17" x14ac:dyDescent="0.25">
      <c r="A82" t="s">
        <v>411</v>
      </c>
      <c r="B82" s="10">
        <v>44422</v>
      </c>
      <c r="C82" s="94" t="s">
        <v>935</v>
      </c>
      <c r="D82" s="94" t="s">
        <v>935</v>
      </c>
      <c r="E82" s="59" t="s">
        <v>999</v>
      </c>
      <c r="F82" s="10">
        <v>44418</v>
      </c>
      <c r="G82" s="10">
        <v>44417.150694444441</v>
      </c>
      <c r="H82" s="95" t="s">
        <v>63</v>
      </c>
      <c r="I82" t="s">
        <v>66</v>
      </c>
      <c r="J82" s="61">
        <f>MIN(Old85sTable[[#This Row],[RESOLVE DATE]]-Old85sTable[[#This Row],[HANDSHEET ISSUE DATE]],30)</f>
        <v>4</v>
      </c>
      <c r="K82"/>
      <c r="N82">
        <v>660</v>
      </c>
      <c r="O82">
        <v>16694</v>
      </c>
      <c r="P82">
        <v>9453</v>
      </c>
      <c r="Q82" s="55" t="str">
        <f t="shared" si="1"/>
        <v>660166949453</v>
      </c>
    </row>
    <row r="83" spans="1:17" x14ac:dyDescent="0.25">
      <c r="A83" t="s">
        <v>414</v>
      </c>
      <c r="B83" s="10">
        <v>44422</v>
      </c>
      <c r="C83" s="94" t="s">
        <v>935</v>
      </c>
      <c r="D83" s="94" t="s">
        <v>935</v>
      </c>
      <c r="E83" s="59" t="s">
        <v>1000</v>
      </c>
      <c r="F83" s="10">
        <v>44420</v>
      </c>
      <c r="G83" s="10">
        <v>44419.197916666664</v>
      </c>
      <c r="H83" s="95" t="s">
        <v>291</v>
      </c>
      <c r="I83" t="s">
        <v>67</v>
      </c>
      <c r="J83" s="61">
        <f>MIN(Old85sTable[[#This Row],[RESOLVE DATE]]-Old85sTable[[#This Row],[HANDSHEET ISSUE DATE]],30)</f>
        <v>2</v>
      </c>
      <c r="K83"/>
      <c r="N83">
        <v>510</v>
      </c>
      <c r="O83">
        <v>76953</v>
      </c>
      <c r="P83">
        <v>7744</v>
      </c>
      <c r="Q83" s="55" t="str">
        <f t="shared" si="1"/>
        <v>510769537744</v>
      </c>
    </row>
    <row r="84" spans="1:17" x14ac:dyDescent="0.25">
      <c r="A84" t="s">
        <v>408</v>
      </c>
      <c r="B84" s="10">
        <v>44422</v>
      </c>
      <c r="C84" s="94" t="s">
        <v>935</v>
      </c>
      <c r="D84" s="94" t="s">
        <v>935</v>
      </c>
      <c r="E84" s="59" t="s">
        <v>1001</v>
      </c>
      <c r="F84" s="10">
        <v>44373</v>
      </c>
      <c r="G84" s="10">
        <v>44372.193055555559</v>
      </c>
      <c r="H84" s="95" t="s">
        <v>35</v>
      </c>
      <c r="I84" t="s">
        <v>51</v>
      </c>
      <c r="J84" s="61">
        <f>MIN(Old85sTable[[#This Row],[RESOLVE DATE]]-Old85sTable[[#This Row],[HANDSHEET ISSUE DATE]],30)</f>
        <v>30</v>
      </c>
      <c r="K84"/>
      <c r="N84">
        <v>275</v>
      </c>
      <c r="O84">
        <v>62491</v>
      </c>
      <c r="P84">
        <v>2806</v>
      </c>
      <c r="Q84" s="55" t="str">
        <f t="shared" si="1"/>
        <v>275624912806</v>
      </c>
    </row>
    <row r="85" spans="1:17" x14ac:dyDescent="0.25">
      <c r="A85" t="s">
        <v>408</v>
      </c>
      <c r="B85" s="10">
        <v>44422</v>
      </c>
      <c r="C85" s="94" t="s">
        <v>935</v>
      </c>
      <c r="D85" s="94" t="s">
        <v>935</v>
      </c>
      <c r="E85" s="59" t="s">
        <v>1002</v>
      </c>
      <c r="F85" s="10">
        <v>44373</v>
      </c>
      <c r="G85" s="10">
        <v>44372.190972222219</v>
      </c>
      <c r="H85" s="95" t="s">
        <v>35</v>
      </c>
      <c r="I85" t="s">
        <v>24</v>
      </c>
      <c r="J85" s="61">
        <f>MIN(Old85sTable[[#This Row],[RESOLVE DATE]]-Old85sTable[[#This Row],[HANDSHEET ISSUE DATE]],30)</f>
        <v>30</v>
      </c>
      <c r="K85"/>
      <c r="N85">
        <v>433</v>
      </c>
      <c r="O85">
        <v>62492</v>
      </c>
      <c r="P85">
        <v>2806</v>
      </c>
      <c r="Q85" s="55" t="str">
        <f t="shared" si="1"/>
        <v>433624922806</v>
      </c>
    </row>
    <row r="86" spans="1:17" x14ac:dyDescent="0.25">
      <c r="A86" t="s">
        <v>408</v>
      </c>
      <c r="B86" s="10">
        <v>44422</v>
      </c>
      <c r="C86" s="94" t="s">
        <v>935</v>
      </c>
      <c r="D86" s="94" t="s">
        <v>935</v>
      </c>
      <c r="E86" s="59" t="s">
        <v>1063</v>
      </c>
      <c r="F86" s="10">
        <v>44373</v>
      </c>
      <c r="G86" s="10">
        <v>44372.297222222223</v>
      </c>
      <c r="H86" s="95" t="s">
        <v>35</v>
      </c>
      <c r="I86" t="s">
        <v>33</v>
      </c>
      <c r="J86" s="61">
        <f>MIN(Old85sTable[[#This Row],[RESOLVE DATE]]-Old85sTable[[#This Row],[HANDSHEET ISSUE DATE]],30)</f>
        <v>30</v>
      </c>
      <c r="K86"/>
      <c r="N86">
        <v>966</v>
      </c>
      <c r="O86">
        <v>8202</v>
      </c>
      <c r="P86">
        <v>5165</v>
      </c>
      <c r="Q86" s="55" t="str">
        <f t="shared" si="1"/>
        <v>96682025165</v>
      </c>
    </row>
    <row r="87" spans="1:17" x14ac:dyDescent="0.25">
      <c r="A87" t="s">
        <v>408</v>
      </c>
      <c r="B87" s="10">
        <v>44422</v>
      </c>
      <c r="C87" s="94" t="s">
        <v>935</v>
      </c>
      <c r="D87" s="94" t="s">
        <v>935</v>
      </c>
      <c r="E87" s="59" t="s">
        <v>1064</v>
      </c>
      <c r="F87" s="10">
        <v>44373</v>
      </c>
      <c r="G87" s="10">
        <v>44372.259027777778</v>
      </c>
      <c r="H87" s="95" t="s">
        <v>35</v>
      </c>
      <c r="J87" s="61">
        <f>MIN(Old85sTable[[#This Row],[RESOLVE DATE]]-Old85sTable[[#This Row],[HANDSHEET ISSUE DATE]],30)</f>
        <v>30</v>
      </c>
      <c r="K87"/>
      <c r="N87">
        <v>281</v>
      </c>
      <c r="O87">
        <v>8204</v>
      </c>
      <c r="P87">
        <v>5165</v>
      </c>
      <c r="Q87" s="55" t="str">
        <f t="shared" si="1"/>
        <v>28182045165</v>
      </c>
    </row>
    <row r="88" spans="1:17" x14ac:dyDescent="0.25">
      <c r="A88" t="s">
        <v>408</v>
      </c>
      <c r="B88" s="10">
        <v>44422</v>
      </c>
      <c r="C88" s="94" t="s">
        <v>935</v>
      </c>
      <c r="D88" s="94" t="s">
        <v>935</v>
      </c>
      <c r="E88" s="59" t="s">
        <v>1003</v>
      </c>
      <c r="F88" s="10">
        <v>44373</v>
      </c>
      <c r="G88" s="10">
        <v>44372.144444444442</v>
      </c>
      <c r="H88" s="95" t="s">
        <v>35</v>
      </c>
      <c r="I88" t="s">
        <v>196</v>
      </c>
      <c r="J88" s="61">
        <f>MIN(Old85sTable[[#This Row],[RESOLVE DATE]]-Old85sTable[[#This Row],[HANDSHEET ISSUE DATE]],30)</f>
        <v>30</v>
      </c>
      <c r="K88"/>
      <c r="N88">
        <v>831</v>
      </c>
      <c r="O88">
        <v>50033</v>
      </c>
      <c r="P88">
        <v>5189</v>
      </c>
      <c r="Q88" s="55" t="str">
        <f t="shared" si="1"/>
        <v>831500335189</v>
      </c>
    </row>
    <row r="89" spans="1:17" x14ac:dyDescent="0.25">
      <c r="A89" t="s">
        <v>408</v>
      </c>
      <c r="B89" s="10">
        <v>44422</v>
      </c>
      <c r="C89" s="94" t="s">
        <v>935</v>
      </c>
      <c r="D89" s="94" t="s">
        <v>935</v>
      </c>
      <c r="E89" s="59" t="s">
        <v>1004</v>
      </c>
      <c r="F89" s="10">
        <v>44373</v>
      </c>
      <c r="G89" s="10">
        <v>44372.144444444442</v>
      </c>
      <c r="H89" s="95" t="s">
        <v>35</v>
      </c>
      <c r="I89" t="s">
        <v>40</v>
      </c>
      <c r="J89" s="61">
        <f>MIN(Old85sTable[[#This Row],[RESOLVE DATE]]-Old85sTable[[#This Row],[HANDSHEET ISSUE DATE]],30)</f>
        <v>30</v>
      </c>
      <c r="K89"/>
      <c r="N89">
        <v>901</v>
      </c>
      <c r="O89">
        <v>50033</v>
      </c>
      <c r="P89">
        <v>5189</v>
      </c>
      <c r="Q89" s="55" t="str">
        <f t="shared" si="1"/>
        <v>901500335189</v>
      </c>
    </row>
    <row r="90" spans="1:17" x14ac:dyDescent="0.25">
      <c r="A90" t="s">
        <v>408</v>
      </c>
      <c r="B90" s="10">
        <v>44422</v>
      </c>
      <c r="C90" s="94" t="s">
        <v>935</v>
      </c>
      <c r="D90" s="94" t="s">
        <v>935</v>
      </c>
      <c r="E90" s="59" t="s">
        <v>1065</v>
      </c>
      <c r="F90" s="10">
        <v>44373</v>
      </c>
      <c r="G90" s="10">
        <v>44372.162499999999</v>
      </c>
      <c r="H90" s="95" t="s">
        <v>35</v>
      </c>
      <c r="I90" t="s">
        <v>24</v>
      </c>
      <c r="J90" s="61">
        <f>MIN(Old85sTable[[#This Row],[RESOLVE DATE]]-Old85sTable[[#This Row],[HANDSHEET ISSUE DATE]],30)</f>
        <v>30</v>
      </c>
      <c r="K90"/>
      <c r="N90">
        <v>25</v>
      </c>
      <c r="O90">
        <v>50034</v>
      </c>
      <c r="P90">
        <v>5189</v>
      </c>
      <c r="Q90" s="55" t="str">
        <f t="shared" si="1"/>
        <v>25500345189</v>
      </c>
    </row>
    <row r="91" spans="1:17" x14ac:dyDescent="0.25">
      <c r="A91" t="s">
        <v>408</v>
      </c>
      <c r="B91" s="10">
        <v>44422</v>
      </c>
      <c r="C91" s="94" t="s">
        <v>935</v>
      </c>
      <c r="D91" s="94" t="s">
        <v>935</v>
      </c>
      <c r="E91" s="59" t="s">
        <v>1005</v>
      </c>
      <c r="F91" s="10">
        <v>44373</v>
      </c>
      <c r="G91" s="10">
        <v>44372.163194444445</v>
      </c>
      <c r="H91" s="95" t="s">
        <v>35</v>
      </c>
      <c r="I91" t="s">
        <v>41</v>
      </c>
      <c r="J91" s="61">
        <f>MIN(Old85sTable[[#This Row],[RESOLVE DATE]]-Old85sTable[[#This Row],[HANDSHEET ISSUE DATE]],30)</f>
        <v>30</v>
      </c>
      <c r="K91"/>
      <c r="N91">
        <v>833</v>
      </c>
      <c r="O91">
        <v>60741</v>
      </c>
      <c r="P91">
        <v>9528</v>
      </c>
      <c r="Q91" s="55" t="str">
        <f t="shared" si="1"/>
        <v>833607419528</v>
      </c>
    </row>
    <row r="92" spans="1:17" x14ac:dyDescent="0.25">
      <c r="A92" t="s">
        <v>408</v>
      </c>
      <c r="B92" s="10">
        <v>44422</v>
      </c>
      <c r="C92" s="94" t="s">
        <v>935</v>
      </c>
      <c r="D92" s="94" t="s">
        <v>935</v>
      </c>
      <c r="E92" s="59" t="s">
        <v>1006</v>
      </c>
      <c r="F92" s="10">
        <v>44373</v>
      </c>
      <c r="G92" s="10">
        <v>44372.22152777778</v>
      </c>
      <c r="H92" s="95" t="s">
        <v>35</v>
      </c>
      <c r="I92" t="s">
        <v>196</v>
      </c>
      <c r="J92" s="61">
        <f>MIN(Old85sTable[[#This Row],[RESOLVE DATE]]-Old85sTable[[#This Row],[HANDSHEET ISSUE DATE]],30)</f>
        <v>30</v>
      </c>
      <c r="K92"/>
      <c r="N92">
        <v>844</v>
      </c>
      <c r="O92">
        <v>60741</v>
      </c>
      <c r="P92">
        <v>9528</v>
      </c>
      <c r="Q92" s="55" t="str">
        <f t="shared" si="1"/>
        <v>844607419528</v>
      </c>
    </row>
    <row r="93" spans="1:17" x14ac:dyDescent="0.25">
      <c r="A93" t="s">
        <v>408</v>
      </c>
      <c r="B93" s="10">
        <v>44422</v>
      </c>
      <c r="C93" s="94" t="s">
        <v>935</v>
      </c>
      <c r="D93" s="94" t="s">
        <v>935</v>
      </c>
      <c r="E93" s="59" t="s">
        <v>1007</v>
      </c>
      <c r="F93" s="10">
        <v>44373</v>
      </c>
      <c r="G93" s="10">
        <v>44372.164583333331</v>
      </c>
      <c r="H93" s="95" t="s">
        <v>35</v>
      </c>
      <c r="I93" t="s">
        <v>57</v>
      </c>
      <c r="J93" s="61">
        <f>MIN(Old85sTable[[#This Row],[RESOLVE DATE]]-Old85sTable[[#This Row],[HANDSHEET ISSUE DATE]],30)</f>
        <v>30</v>
      </c>
      <c r="K93"/>
      <c r="N93">
        <v>899</v>
      </c>
      <c r="O93">
        <v>60741</v>
      </c>
      <c r="P93">
        <v>9528</v>
      </c>
      <c r="Q93" s="55" t="str">
        <f t="shared" si="1"/>
        <v>899607419528</v>
      </c>
    </row>
    <row r="94" spans="1:17" x14ac:dyDescent="0.25">
      <c r="A94" t="s">
        <v>408</v>
      </c>
      <c r="B94" s="10">
        <v>44422</v>
      </c>
      <c r="C94" s="94" t="s">
        <v>935</v>
      </c>
      <c r="D94" s="94" t="s">
        <v>935</v>
      </c>
      <c r="E94" s="59" t="s">
        <v>1008</v>
      </c>
      <c r="F94" s="10">
        <v>44373</v>
      </c>
      <c r="G94" s="10">
        <v>44372.099305555559</v>
      </c>
      <c r="H94" s="95" t="s">
        <v>35</v>
      </c>
      <c r="I94"/>
      <c r="J94" s="61">
        <f>MIN(Old85sTable[[#This Row],[RESOLVE DATE]]-Old85sTable[[#This Row],[HANDSHEET ISSUE DATE]],30)</f>
        <v>30</v>
      </c>
      <c r="K94"/>
      <c r="N94">
        <v>576</v>
      </c>
      <c r="O94">
        <v>60752</v>
      </c>
      <c r="P94">
        <v>9528</v>
      </c>
      <c r="Q94" s="55" t="str">
        <f t="shared" si="1"/>
        <v>576607529528</v>
      </c>
    </row>
    <row r="95" spans="1:17" x14ac:dyDescent="0.25">
      <c r="A95" t="s">
        <v>409</v>
      </c>
      <c r="B95" s="10">
        <v>44422</v>
      </c>
      <c r="C95" s="94" t="s">
        <v>935</v>
      </c>
      <c r="D95" s="94" t="s">
        <v>935</v>
      </c>
      <c r="E95" s="59" t="s">
        <v>1009</v>
      </c>
      <c r="F95" s="10">
        <v>44376</v>
      </c>
      <c r="G95" s="10">
        <v>44375.093055555553</v>
      </c>
      <c r="H95" s="95" t="s">
        <v>38</v>
      </c>
      <c r="I95" t="s">
        <v>280</v>
      </c>
      <c r="J95" s="61">
        <f>MIN(Old85sTable[[#This Row],[RESOLVE DATE]]-Old85sTable[[#This Row],[HANDSHEET ISSUE DATE]],30)</f>
        <v>30</v>
      </c>
      <c r="K95"/>
      <c r="N95">
        <v>359</v>
      </c>
      <c r="O95">
        <v>62837</v>
      </c>
      <c r="P95">
        <v>5162</v>
      </c>
      <c r="Q95" s="55" t="str">
        <f t="shared" si="1"/>
        <v>359628375162</v>
      </c>
    </row>
    <row r="96" spans="1:17" x14ac:dyDescent="0.25">
      <c r="A96" t="s">
        <v>408</v>
      </c>
      <c r="B96" s="10">
        <v>44422</v>
      </c>
      <c r="C96" s="94" t="s">
        <v>935</v>
      </c>
      <c r="D96" s="94" t="s">
        <v>935</v>
      </c>
      <c r="E96" s="59" t="s">
        <v>1066</v>
      </c>
      <c r="F96" s="10">
        <v>44376</v>
      </c>
      <c r="G96" s="10">
        <v>44375.089583333334</v>
      </c>
      <c r="H96" s="95" t="s">
        <v>29</v>
      </c>
      <c r="I96" t="s">
        <v>280</v>
      </c>
      <c r="J96" s="61">
        <f>MIN(Old85sTable[[#This Row],[RESOLVE DATE]]-Old85sTable[[#This Row],[HANDSHEET ISSUE DATE]],30)</f>
        <v>30</v>
      </c>
      <c r="K96"/>
      <c r="N96">
        <v>84</v>
      </c>
      <c r="O96">
        <v>53621</v>
      </c>
      <c r="P96">
        <v>3835</v>
      </c>
      <c r="Q96" s="55" t="str">
        <f t="shared" si="1"/>
        <v>84536213835</v>
      </c>
    </row>
    <row r="97" spans="1:17" x14ac:dyDescent="0.25">
      <c r="A97" t="s">
        <v>408</v>
      </c>
      <c r="B97" s="10">
        <v>44422</v>
      </c>
      <c r="C97" s="94" t="s">
        <v>935</v>
      </c>
      <c r="D97" s="94" t="s">
        <v>935</v>
      </c>
      <c r="E97" s="59" t="s">
        <v>1067</v>
      </c>
      <c r="F97" s="10">
        <v>44376</v>
      </c>
      <c r="G97" s="10">
        <v>44375.26458333333</v>
      </c>
      <c r="H97" s="95" t="s">
        <v>29</v>
      </c>
      <c r="J97" s="61">
        <f>MIN(Old85sTable[[#This Row],[RESOLVE DATE]]-Old85sTable[[#This Row],[HANDSHEET ISSUE DATE]],30)</f>
        <v>30</v>
      </c>
      <c r="K97"/>
      <c r="N97">
        <v>40</v>
      </c>
      <c r="O97">
        <v>34222</v>
      </c>
      <c r="P97">
        <v>5077</v>
      </c>
      <c r="Q97" s="55" t="str">
        <f t="shared" si="1"/>
        <v>40342225077</v>
      </c>
    </row>
    <row r="98" spans="1:17" x14ac:dyDescent="0.25">
      <c r="A98" t="s">
        <v>408</v>
      </c>
      <c r="B98" s="10">
        <v>44422</v>
      </c>
      <c r="C98" s="94" t="s">
        <v>935</v>
      </c>
      <c r="D98" s="94" t="s">
        <v>935</v>
      </c>
      <c r="E98" s="59" t="s">
        <v>1010</v>
      </c>
      <c r="F98" s="10">
        <v>44376</v>
      </c>
      <c r="G98" s="10">
        <v>44375.263194444444</v>
      </c>
      <c r="H98" s="95" t="s">
        <v>29</v>
      </c>
      <c r="I98" t="s">
        <v>338</v>
      </c>
      <c r="J98" s="61">
        <f>MIN(Old85sTable[[#This Row],[RESOLVE DATE]]-Old85sTable[[#This Row],[HANDSHEET ISSUE DATE]],30)</f>
        <v>30</v>
      </c>
      <c r="K98"/>
      <c r="N98" s="55">
        <v>753</v>
      </c>
      <c r="O98">
        <v>24293</v>
      </c>
      <c r="P98">
        <v>7739</v>
      </c>
      <c r="Q98" s="55" t="str">
        <f t="shared" si="1"/>
        <v>753242937739</v>
      </c>
    </row>
    <row r="99" spans="1:17" x14ac:dyDescent="0.25">
      <c r="A99" t="s">
        <v>410</v>
      </c>
      <c r="B99" s="10">
        <v>44422</v>
      </c>
      <c r="C99" s="94" t="s">
        <v>935</v>
      </c>
      <c r="D99" s="94" t="s">
        <v>935</v>
      </c>
      <c r="E99" s="59" t="s">
        <v>1011</v>
      </c>
      <c r="F99" s="10">
        <v>44376</v>
      </c>
      <c r="G99" s="10">
        <v>44375.32708333333</v>
      </c>
      <c r="H99" s="95" t="s">
        <v>42</v>
      </c>
      <c r="I99" t="s">
        <v>25</v>
      </c>
      <c r="J99" s="61">
        <f>MIN(Old85sTable[[#This Row],[RESOLVE DATE]]-Old85sTable[[#This Row],[HANDSHEET ISSUE DATE]],30)</f>
        <v>30</v>
      </c>
      <c r="K99"/>
      <c r="N99" s="55">
        <v>781</v>
      </c>
      <c r="O99">
        <v>76983</v>
      </c>
      <c r="P99">
        <v>5170</v>
      </c>
      <c r="Q99" s="55" t="str">
        <f t="shared" si="1"/>
        <v>781769835170</v>
      </c>
    </row>
    <row r="100" spans="1:17" x14ac:dyDescent="0.25">
      <c r="A100" t="s">
        <v>27</v>
      </c>
      <c r="B100" s="10">
        <v>44425</v>
      </c>
      <c r="C100" s="94" t="s">
        <v>935</v>
      </c>
      <c r="D100" s="94" t="s">
        <v>935</v>
      </c>
      <c r="E100" s="59" t="s">
        <v>1012</v>
      </c>
      <c r="F100" s="10">
        <v>44425</v>
      </c>
      <c r="G100" s="10">
        <v>44424.281944444447</v>
      </c>
      <c r="H100" s="95" t="s">
        <v>61</v>
      </c>
      <c r="I100" t="s">
        <v>25</v>
      </c>
      <c r="J100" s="61">
        <f>MIN(Old85sTable[[#This Row],[RESOLVE DATE]]-Old85sTable[[#This Row],[HANDSHEET ISSUE DATE]],30)</f>
        <v>0</v>
      </c>
      <c r="K100"/>
      <c r="N100" s="55">
        <v>339</v>
      </c>
      <c r="O100">
        <v>56055</v>
      </c>
      <c r="P100">
        <v>5235</v>
      </c>
      <c r="Q100" s="55" t="str">
        <f t="shared" si="1"/>
        <v>339560555235</v>
      </c>
    </row>
    <row r="101" spans="1:17" x14ac:dyDescent="0.25">
      <c r="A101" t="s">
        <v>416</v>
      </c>
      <c r="B101" s="10">
        <v>44426</v>
      </c>
      <c r="C101" s="94" t="s">
        <v>935</v>
      </c>
      <c r="D101" s="94" t="s">
        <v>935</v>
      </c>
      <c r="E101" s="59" t="s">
        <v>1068</v>
      </c>
      <c r="F101" s="10">
        <v>44415</v>
      </c>
      <c r="G101" s="10">
        <v>44414.261111111111</v>
      </c>
      <c r="H101" s="95" t="s">
        <v>268</v>
      </c>
      <c r="I101" t="s">
        <v>339</v>
      </c>
      <c r="J101" s="61">
        <f>MIN(Old85sTable[[#This Row],[RESOLVE DATE]]-Old85sTable[[#This Row],[HANDSHEET ISSUE DATE]],30)</f>
        <v>11</v>
      </c>
      <c r="K101"/>
      <c r="N101" s="55">
        <v>693</v>
      </c>
      <c r="O101">
        <v>7681</v>
      </c>
      <c r="P101">
        <v>3841</v>
      </c>
      <c r="Q101" s="55" t="str">
        <f t="shared" si="1"/>
        <v>69376813841</v>
      </c>
    </row>
    <row r="102" spans="1:17" x14ac:dyDescent="0.25">
      <c r="A102" t="s">
        <v>416</v>
      </c>
      <c r="B102" s="10">
        <v>44426</v>
      </c>
      <c r="C102" s="94" t="s">
        <v>935</v>
      </c>
      <c r="D102" s="94" t="s">
        <v>935</v>
      </c>
      <c r="E102" s="59" t="s">
        <v>1069</v>
      </c>
      <c r="F102" s="10">
        <v>44418</v>
      </c>
      <c r="G102" s="10">
        <v>44417.202777777777</v>
      </c>
      <c r="H102" s="95" t="s">
        <v>268</v>
      </c>
      <c r="I102" t="s">
        <v>341</v>
      </c>
      <c r="J102" s="61">
        <f>MIN(Old85sTable[[#This Row],[RESOLVE DATE]]-Old85sTable[[#This Row],[HANDSHEET ISSUE DATE]],30)</f>
        <v>8</v>
      </c>
      <c r="K102"/>
      <c r="N102" s="55">
        <v>223</v>
      </c>
      <c r="O102">
        <v>4750</v>
      </c>
      <c r="P102">
        <v>5073</v>
      </c>
      <c r="Q102" s="55" t="str">
        <f t="shared" si="1"/>
        <v>22347505073</v>
      </c>
    </row>
    <row r="103" spans="1:17" x14ac:dyDescent="0.25">
      <c r="A103" t="s">
        <v>416</v>
      </c>
      <c r="B103" s="10">
        <v>44426</v>
      </c>
      <c r="C103" s="94" t="s">
        <v>935</v>
      </c>
      <c r="D103" s="94" t="s">
        <v>935</v>
      </c>
      <c r="E103" s="59" t="s">
        <v>1013</v>
      </c>
      <c r="F103" s="10">
        <v>44418</v>
      </c>
      <c r="G103" s="10">
        <v>44417.165972222225</v>
      </c>
      <c r="H103" s="95" t="s">
        <v>268</v>
      </c>
      <c r="I103" t="s">
        <v>342</v>
      </c>
      <c r="J103" s="61">
        <f>MIN(Old85sTable[[#This Row],[RESOLVE DATE]]-Old85sTable[[#This Row],[HANDSHEET ISSUE DATE]],30)</f>
        <v>8</v>
      </c>
      <c r="K103"/>
      <c r="N103" s="55">
        <v>331</v>
      </c>
      <c r="O103">
        <v>32829</v>
      </c>
      <c r="P103">
        <v>5164</v>
      </c>
      <c r="Q103" s="55" t="str">
        <f t="shared" si="1"/>
        <v>331328295164</v>
      </c>
    </row>
    <row r="104" spans="1:17" x14ac:dyDescent="0.25">
      <c r="A104" t="s">
        <v>411</v>
      </c>
      <c r="B104" s="10">
        <v>44426</v>
      </c>
      <c r="C104" s="94" t="s">
        <v>935</v>
      </c>
      <c r="D104" s="94" t="s">
        <v>935</v>
      </c>
      <c r="E104" s="59" t="s">
        <v>1014</v>
      </c>
      <c r="F104" s="10">
        <v>44422</v>
      </c>
      <c r="G104" s="10">
        <v>44421.21597222222</v>
      </c>
      <c r="H104" s="95" t="s">
        <v>275</v>
      </c>
      <c r="J104" s="61">
        <f>MIN(Old85sTable[[#This Row],[RESOLVE DATE]]-Old85sTable[[#This Row],[HANDSHEET ISSUE DATE]],30)</f>
        <v>4</v>
      </c>
      <c r="K104"/>
      <c r="N104" s="55">
        <v>915</v>
      </c>
      <c r="O104">
        <v>47640</v>
      </c>
      <c r="P104">
        <v>5293</v>
      </c>
      <c r="Q104" s="55" t="str">
        <f t="shared" si="1"/>
        <v>915476405293</v>
      </c>
    </row>
    <row r="105" spans="1:17" x14ac:dyDescent="0.25">
      <c r="A105" t="s">
        <v>409</v>
      </c>
      <c r="B105" s="10">
        <v>44426</v>
      </c>
      <c r="C105" s="94" t="s">
        <v>935</v>
      </c>
      <c r="D105" s="94" t="s">
        <v>935</v>
      </c>
      <c r="E105" s="59" t="s">
        <v>1070</v>
      </c>
      <c r="F105" s="10">
        <v>44422</v>
      </c>
      <c r="G105" s="10">
        <v>44421.114583333336</v>
      </c>
      <c r="H105" s="95" t="s">
        <v>319</v>
      </c>
      <c r="I105" t="s">
        <v>342</v>
      </c>
      <c r="J105" s="61">
        <f>MIN(Old85sTable[[#This Row],[RESOLVE DATE]]-Old85sTable[[#This Row],[HANDSHEET ISSUE DATE]],30)</f>
        <v>4</v>
      </c>
      <c r="K105"/>
      <c r="N105" s="55">
        <v>5</v>
      </c>
      <c r="O105">
        <v>76709</v>
      </c>
      <c r="P105">
        <v>2823</v>
      </c>
      <c r="Q105" s="55" t="str">
        <f t="shared" si="1"/>
        <v>5767092823</v>
      </c>
    </row>
    <row r="106" spans="1:17" x14ac:dyDescent="0.25">
      <c r="A106" t="s">
        <v>410</v>
      </c>
      <c r="B106" s="10">
        <v>44426</v>
      </c>
      <c r="C106" s="94" t="s">
        <v>935</v>
      </c>
      <c r="D106" s="94" t="s">
        <v>935</v>
      </c>
      <c r="E106" s="59" t="s">
        <v>1015</v>
      </c>
      <c r="F106" s="10">
        <v>44422</v>
      </c>
      <c r="G106" s="10">
        <v>44421.170138888891</v>
      </c>
      <c r="H106" s="95" t="s">
        <v>30</v>
      </c>
      <c r="I106" t="s">
        <v>24</v>
      </c>
      <c r="J106" s="61">
        <f>MIN(Old85sTable[[#This Row],[RESOLVE DATE]]-Old85sTable[[#This Row],[HANDSHEET ISSUE DATE]],30)</f>
        <v>4</v>
      </c>
      <c r="K106"/>
      <c r="N106" s="55">
        <v>59177</v>
      </c>
      <c r="O106">
        <v>98288</v>
      </c>
      <c r="P106">
        <v>5319</v>
      </c>
      <c r="Q106" s="55" t="str">
        <f t="shared" si="1"/>
        <v>59177982885319</v>
      </c>
    </row>
    <row r="107" spans="1:17" x14ac:dyDescent="0.25">
      <c r="A107" t="s">
        <v>413</v>
      </c>
      <c r="B107" s="10">
        <v>44426</v>
      </c>
      <c r="C107" s="94" t="s">
        <v>935</v>
      </c>
      <c r="D107" s="94" t="s">
        <v>935</v>
      </c>
      <c r="E107" s="59" t="s">
        <v>1016</v>
      </c>
      <c r="F107" s="10">
        <v>44422</v>
      </c>
      <c r="G107" s="10">
        <v>44421.1875</v>
      </c>
      <c r="H107" s="95" t="s">
        <v>263</v>
      </c>
      <c r="I107" t="s">
        <v>25</v>
      </c>
      <c r="J107" s="61">
        <f>MIN(Old85sTable[[#This Row],[RESOLVE DATE]]-Old85sTable[[#This Row],[HANDSHEET ISSUE DATE]],30)</f>
        <v>4</v>
      </c>
      <c r="K107"/>
      <c r="N107" s="55">
        <v>271</v>
      </c>
      <c r="O107">
        <v>51747</v>
      </c>
      <c r="P107">
        <v>5293</v>
      </c>
      <c r="Q107" s="55" t="str">
        <f t="shared" si="1"/>
        <v>271517475293</v>
      </c>
    </row>
    <row r="108" spans="1:17" x14ac:dyDescent="0.25">
      <c r="A108" t="s">
        <v>415</v>
      </c>
      <c r="B108" s="10">
        <v>44426</v>
      </c>
      <c r="C108" s="94" t="s">
        <v>935</v>
      </c>
      <c r="D108" s="94" t="s">
        <v>935</v>
      </c>
      <c r="E108" s="59" t="s">
        <v>1017</v>
      </c>
      <c r="F108" s="10">
        <v>44422</v>
      </c>
      <c r="G108" s="10">
        <v>44421.175694444442</v>
      </c>
      <c r="H108" s="95" t="s">
        <v>321</v>
      </c>
      <c r="I108" t="s">
        <v>24</v>
      </c>
      <c r="J108" s="61">
        <f>MIN(Old85sTable[[#This Row],[RESOLVE DATE]]-Old85sTable[[#This Row],[HANDSHEET ISSUE DATE]],30)</f>
        <v>4</v>
      </c>
      <c r="K108"/>
      <c r="N108" s="55">
        <v>304</v>
      </c>
      <c r="O108">
        <v>28658</v>
      </c>
      <c r="P108">
        <v>2822</v>
      </c>
      <c r="Q108" s="55" t="str">
        <f t="shared" si="1"/>
        <v>304286582822</v>
      </c>
    </row>
    <row r="109" spans="1:17" x14ac:dyDescent="0.25">
      <c r="A109" t="s">
        <v>411</v>
      </c>
      <c r="B109" s="10">
        <v>44426</v>
      </c>
      <c r="C109" s="94" t="s">
        <v>935</v>
      </c>
      <c r="D109" s="94" t="s">
        <v>935</v>
      </c>
      <c r="E109" s="59" t="s">
        <v>1018</v>
      </c>
      <c r="F109" s="10">
        <v>44425</v>
      </c>
      <c r="G109" s="10">
        <v>44424.179166666669</v>
      </c>
      <c r="H109" s="95" t="s">
        <v>43</v>
      </c>
      <c r="I109" t="s">
        <v>24</v>
      </c>
      <c r="J109" s="61">
        <f>MIN(Old85sTable[[#This Row],[RESOLVE DATE]]-Old85sTable[[#This Row],[HANDSHEET ISSUE DATE]],30)</f>
        <v>1</v>
      </c>
      <c r="K109"/>
      <c r="N109" s="55">
        <v>549</v>
      </c>
      <c r="O109">
        <v>88580</v>
      </c>
      <c r="P109">
        <v>7744</v>
      </c>
      <c r="Q109" s="55" t="str">
        <f t="shared" si="1"/>
        <v>549885807744</v>
      </c>
    </row>
    <row r="110" spans="1:17" x14ac:dyDescent="0.25">
      <c r="A110" t="s">
        <v>415</v>
      </c>
      <c r="B110" s="10">
        <v>44426</v>
      </c>
      <c r="C110" s="94" t="s">
        <v>935</v>
      </c>
      <c r="D110" s="94" t="s">
        <v>935</v>
      </c>
      <c r="E110" s="59" t="s">
        <v>1019</v>
      </c>
      <c r="F110" s="10">
        <v>44425</v>
      </c>
      <c r="G110" s="10">
        <v>44424.12222222222</v>
      </c>
      <c r="H110" s="95" t="s">
        <v>336</v>
      </c>
      <c r="I110" t="s">
        <v>49</v>
      </c>
      <c r="J110" s="61">
        <f>MIN(Old85sTable[[#This Row],[RESOLVE DATE]]-Old85sTable[[#This Row],[HANDSHEET ISSUE DATE]],30)</f>
        <v>1</v>
      </c>
      <c r="K110"/>
      <c r="N110" s="55">
        <v>77138</v>
      </c>
      <c r="O110">
        <v>36100</v>
      </c>
      <c r="P110">
        <v>9973</v>
      </c>
      <c r="Q110" s="55" t="str">
        <f t="shared" si="1"/>
        <v>77138361009973</v>
      </c>
    </row>
    <row r="111" spans="1:17" x14ac:dyDescent="0.25">
      <c r="A111" t="s">
        <v>415</v>
      </c>
      <c r="B111" s="10">
        <v>44426</v>
      </c>
      <c r="C111" s="94" t="s">
        <v>935</v>
      </c>
      <c r="D111" s="94" t="s">
        <v>935</v>
      </c>
      <c r="E111" s="59" t="s">
        <v>1020</v>
      </c>
      <c r="F111" s="10">
        <v>44425</v>
      </c>
      <c r="G111" s="10">
        <v>44424.277083333334</v>
      </c>
      <c r="H111" s="95" t="s">
        <v>336</v>
      </c>
      <c r="I111" t="s">
        <v>49</v>
      </c>
      <c r="J111" s="61">
        <f>MIN(Old85sTable[[#This Row],[RESOLVE DATE]]-Old85sTable[[#This Row],[HANDSHEET ISSUE DATE]],30)</f>
        <v>1</v>
      </c>
      <c r="K111"/>
      <c r="N111" s="55">
        <v>404646</v>
      </c>
      <c r="O111">
        <v>95150</v>
      </c>
      <c r="P111">
        <v>9973</v>
      </c>
      <c r="Q111" s="55" t="str">
        <f t="shared" si="1"/>
        <v>404646951509973</v>
      </c>
    </row>
    <row r="112" spans="1:17" x14ac:dyDescent="0.25">
      <c r="A112" t="s">
        <v>413</v>
      </c>
      <c r="B112" s="10">
        <v>44426</v>
      </c>
      <c r="C112" s="94" t="s">
        <v>935</v>
      </c>
      <c r="D112" s="94" t="s">
        <v>935</v>
      </c>
      <c r="E112" s="59" t="s">
        <v>1021</v>
      </c>
      <c r="F112" s="10">
        <v>44425</v>
      </c>
      <c r="G112" s="10">
        <v>44424.106249999997</v>
      </c>
      <c r="H112" s="95" t="s">
        <v>337</v>
      </c>
      <c r="I112" t="s">
        <v>49</v>
      </c>
      <c r="J112" s="61">
        <f>MIN(Old85sTable[[#This Row],[RESOLVE DATE]]-Old85sTable[[#This Row],[HANDSHEET ISSUE DATE]],30)</f>
        <v>1</v>
      </c>
      <c r="K112"/>
      <c r="N112" s="55">
        <v>323</v>
      </c>
      <c r="O112">
        <v>76397</v>
      </c>
      <c r="P112">
        <v>5284</v>
      </c>
      <c r="Q112" s="55" t="str">
        <f t="shared" si="1"/>
        <v>323763975284</v>
      </c>
    </row>
    <row r="113" spans="1:17" x14ac:dyDescent="0.25">
      <c r="A113" t="s">
        <v>413</v>
      </c>
      <c r="B113" s="10">
        <v>44426</v>
      </c>
      <c r="C113" s="94" t="s">
        <v>935</v>
      </c>
      <c r="D113" s="94" t="s">
        <v>935</v>
      </c>
      <c r="E113" s="59" t="s">
        <v>1022</v>
      </c>
      <c r="F113" s="10">
        <v>44425</v>
      </c>
      <c r="G113" s="10">
        <v>44424.09097222222</v>
      </c>
      <c r="H113" s="95" t="s">
        <v>61</v>
      </c>
      <c r="J113" s="61">
        <f>MIN(Old85sTable[[#This Row],[RESOLVE DATE]]-Old85sTable[[#This Row],[HANDSHEET ISSUE DATE]],30)</f>
        <v>1</v>
      </c>
      <c r="K113"/>
      <c r="N113">
        <v>815</v>
      </c>
      <c r="O113">
        <v>83410</v>
      </c>
      <c r="P113">
        <v>5130</v>
      </c>
      <c r="Q113" s="55" t="str">
        <f t="shared" si="1"/>
        <v>815834105130</v>
      </c>
    </row>
    <row r="114" spans="1:17" x14ac:dyDescent="0.25">
      <c r="A114" t="s">
        <v>413</v>
      </c>
      <c r="B114" s="10">
        <v>44426</v>
      </c>
      <c r="C114" s="94" t="s">
        <v>935</v>
      </c>
      <c r="D114" s="94" t="s">
        <v>935</v>
      </c>
      <c r="E114" s="59" t="s">
        <v>1023</v>
      </c>
      <c r="F114" s="10">
        <v>44425</v>
      </c>
      <c r="G114" s="10">
        <v>44424.09097222222</v>
      </c>
      <c r="H114" s="95" t="s">
        <v>278</v>
      </c>
      <c r="J114" s="61">
        <f>MIN(Old85sTable[[#This Row],[RESOLVE DATE]]-Old85sTable[[#This Row],[HANDSHEET ISSUE DATE]],30)</f>
        <v>1</v>
      </c>
      <c r="K114"/>
      <c r="N114">
        <v>258</v>
      </c>
      <c r="O114">
        <v>14826</v>
      </c>
      <c r="P114">
        <v>2825</v>
      </c>
      <c r="Q114" s="55" t="str">
        <f t="shared" si="1"/>
        <v>258148262825</v>
      </c>
    </row>
    <row r="115" spans="1:17" x14ac:dyDescent="0.25">
      <c r="A115" t="s">
        <v>413</v>
      </c>
      <c r="B115" s="10">
        <v>44426</v>
      </c>
      <c r="C115" s="94" t="s">
        <v>935</v>
      </c>
      <c r="D115" s="94" t="s">
        <v>935</v>
      </c>
      <c r="E115" s="59" t="s">
        <v>1024</v>
      </c>
      <c r="F115" s="10">
        <v>44425</v>
      </c>
      <c r="G115" s="10">
        <v>44424.172222222223</v>
      </c>
      <c r="H115" s="95" t="s">
        <v>278</v>
      </c>
      <c r="I115" t="s">
        <v>54</v>
      </c>
      <c r="J115" s="61">
        <f>MIN(Old85sTable[[#This Row],[RESOLVE DATE]]-Old85sTable[[#This Row],[HANDSHEET ISSUE DATE]],30)</f>
        <v>1</v>
      </c>
      <c r="K115"/>
      <c r="N115">
        <v>797</v>
      </c>
      <c r="O115">
        <v>21759</v>
      </c>
      <c r="P115">
        <v>5266</v>
      </c>
      <c r="Q115" s="55" t="str">
        <f t="shared" si="1"/>
        <v>797217595266</v>
      </c>
    </row>
    <row r="116" spans="1:17" x14ac:dyDescent="0.25">
      <c r="A116" t="s">
        <v>413</v>
      </c>
      <c r="B116" s="10">
        <v>44426</v>
      </c>
      <c r="C116" s="94" t="s">
        <v>935</v>
      </c>
      <c r="D116" s="94" t="s">
        <v>935</v>
      </c>
      <c r="E116" s="59" t="s">
        <v>1025</v>
      </c>
      <c r="F116" s="10">
        <v>44425</v>
      </c>
      <c r="G116" s="10">
        <v>44424.11041666667</v>
      </c>
      <c r="H116" s="95" t="s">
        <v>263</v>
      </c>
      <c r="I116" t="s">
        <v>25</v>
      </c>
      <c r="J116" s="61">
        <f>MIN(Old85sTable[[#This Row],[RESOLVE DATE]]-Old85sTable[[#This Row],[HANDSHEET ISSUE DATE]],30)</f>
        <v>1</v>
      </c>
      <c r="K116"/>
      <c r="N116">
        <v>717</v>
      </c>
      <c r="O116">
        <v>48013</v>
      </c>
      <c r="P116">
        <v>7744</v>
      </c>
      <c r="Q116" s="55" t="str">
        <f t="shared" si="1"/>
        <v>717480137744</v>
      </c>
    </row>
    <row r="117" spans="1:17" x14ac:dyDescent="0.25">
      <c r="A117" t="s">
        <v>409</v>
      </c>
      <c r="B117" s="10">
        <v>44426</v>
      </c>
      <c r="C117" s="94" t="s">
        <v>935</v>
      </c>
      <c r="D117" s="94" t="s">
        <v>935</v>
      </c>
      <c r="E117" s="59" t="s">
        <v>1026</v>
      </c>
      <c r="F117" s="10">
        <v>44425</v>
      </c>
      <c r="G117" s="10">
        <v>44424.13958333333</v>
      </c>
      <c r="H117" s="95" t="s">
        <v>34</v>
      </c>
      <c r="I117" t="s">
        <v>49</v>
      </c>
      <c r="J117" s="61">
        <f>MIN(Old85sTable[[#This Row],[RESOLVE DATE]]-Old85sTable[[#This Row],[HANDSHEET ISSUE DATE]],30)</f>
        <v>1</v>
      </c>
      <c r="K117"/>
      <c r="N117">
        <v>374</v>
      </c>
      <c r="O117">
        <v>11994</v>
      </c>
      <c r="P117">
        <v>2823</v>
      </c>
      <c r="Q117" s="55" t="str">
        <f t="shared" si="1"/>
        <v>374119942823</v>
      </c>
    </row>
    <row r="118" spans="1:17" x14ac:dyDescent="0.25">
      <c r="A118" t="s">
        <v>409</v>
      </c>
      <c r="B118" s="10">
        <v>44426</v>
      </c>
      <c r="C118" s="94" t="s">
        <v>935</v>
      </c>
      <c r="D118" s="94" t="s">
        <v>935</v>
      </c>
      <c r="E118" s="59" t="s">
        <v>1071</v>
      </c>
      <c r="F118" s="10">
        <v>44426</v>
      </c>
      <c r="G118" s="10">
        <v>44425.179861111108</v>
      </c>
      <c r="H118" s="95" t="s">
        <v>319</v>
      </c>
      <c r="I118" t="s">
        <v>195</v>
      </c>
      <c r="J118" s="61">
        <f>MIN(Old85sTable[[#This Row],[RESOLVE DATE]]-Old85sTable[[#This Row],[HANDSHEET ISSUE DATE]],30)</f>
        <v>0</v>
      </c>
      <c r="K118"/>
      <c r="N118">
        <v>475</v>
      </c>
      <c r="O118">
        <v>322</v>
      </c>
      <c r="P118">
        <v>5298</v>
      </c>
      <c r="Q118" s="55" t="str">
        <f t="shared" si="1"/>
        <v>4753225298</v>
      </c>
    </row>
    <row r="119" spans="1:17" x14ac:dyDescent="0.25">
      <c r="A119" t="s">
        <v>409</v>
      </c>
      <c r="B119" s="10">
        <v>44426</v>
      </c>
      <c r="C119" s="94" t="s">
        <v>935</v>
      </c>
      <c r="D119" s="94" t="s">
        <v>935</v>
      </c>
      <c r="E119" s="59" t="s">
        <v>1027</v>
      </c>
      <c r="F119" s="10">
        <v>44426</v>
      </c>
      <c r="G119" s="10">
        <v>44425.213888888888</v>
      </c>
      <c r="H119" s="95" t="s">
        <v>319</v>
      </c>
      <c r="I119" t="s">
        <v>196</v>
      </c>
      <c r="J119" s="61">
        <f>MIN(Old85sTable[[#This Row],[RESOLVE DATE]]-Old85sTable[[#This Row],[HANDSHEET ISSUE DATE]],30)</f>
        <v>0</v>
      </c>
      <c r="K119"/>
      <c r="N119">
        <v>572464</v>
      </c>
      <c r="O119">
        <v>42011</v>
      </c>
      <c r="P119">
        <v>9759</v>
      </c>
      <c r="Q119" s="55" t="str">
        <f t="shared" si="1"/>
        <v>572464420119759</v>
      </c>
    </row>
    <row r="120" spans="1:17" x14ac:dyDescent="0.25">
      <c r="A120" t="s">
        <v>412</v>
      </c>
      <c r="B120" s="10">
        <v>44426</v>
      </c>
      <c r="C120" s="94" t="s">
        <v>935</v>
      </c>
      <c r="D120" s="94" t="s">
        <v>935</v>
      </c>
      <c r="E120" s="59" t="s">
        <v>1028</v>
      </c>
      <c r="F120" s="10">
        <v>44426</v>
      </c>
      <c r="G120" s="10">
        <v>44425.294444444444</v>
      </c>
      <c r="H120" s="95" t="s">
        <v>345</v>
      </c>
      <c r="I120" t="s">
        <v>57</v>
      </c>
      <c r="J120" s="61">
        <f>MIN(Old85sTable[[#This Row],[RESOLVE DATE]]-Old85sTable[[#This Row],[HANDSHEET ISSUE DATE]],30)</f>
        <v>0</v>
      </c>
      <c r="K120"/>
      <c r="N120">
        <v>271</v>
      </c>
      <c r="O120">
        <v>63953</v>
      </c>
      <c r="P120">
        <v>3842</v>
      </c>
      <c r="Q120" s="55" t="str">
        <f t="shared" si="1"/>
        <v>271639533842</v>
      </c>
    </row>
    <row r="121" spans="1:17" x14ac:dyDescent="0.25">
      <c r="A121" t="s">
        <v>416</v>
      </c>
      <c r="B121" s="10">
        <v>44426</v>
      </c>
      <c r="C121" s="94" t="s">
        <v>935</v>
      </c>
      <c r="D121" s="94" t="s">
        <v>935</v>
      </c>
      <c r="E121" s="59" t="s">
        <v>1029</v>
      </c>
      <c r="F121" s="10">
        <v>44426</v>
      </c>
      <c r="G121" s="10">
        <v>44425.206250000003</v>
      </c>
      <c r="H121" s="95" t="s">
        <v>346</v>
      </c>
      <c r="J121" s="61">
        <f>MIN(Old85sTable[[#This Row],[RESOLVE DATE]]-Old85sTable[[#This Row],[HANDSHEET ISSUE DATE]],30)</f>
        <v>0</v>
      </c>
      <c r="K121"/>
      <c r="N121">
        <v>411</v>
      </c>
      <c r="O121">
        <v>15359</v>
      </c>
      <c r="P121">
        <v>3842</v>
      </c>
      <c r="Q121" s="55" t="str">
        <f t="shared" si="1"/>
        <v>411153593842</v>
      </c>
    </row>
    <row r="122" spans="1:17" x14ac:dyDescent="0.25">
      <c r="A122" t="s">
        <v>408</v>
      </c>
      <c r="B122" s="10">
        <v>44426</v>
      </c>
      <c r="C122" s="94" t="s">
        <v>935</v>
      </c>
      <c r="D122" s="94" t="s">
        <v>935</v>
      </c>
      <c r="E122" s="59" t="s">
        <v>1030</v>
      </c>
      <c r="F122" s="10">
        <v>44378</v>
      </c>
      <c r="G122" s="10">
        <v>44377.293749999997</v>
      </c>
      <c r="H122" s="95" t="s">
        <v>23</v>
      </c>
      <c r="J122" s="61">
        <f>MIN(Old85sTable[[#This Row],[RESOLVE DATE]]-Old85sTable[[#This Row],[HANDSHEET ISSUE DATE]],30)</f>
        <v>30</v>
      </c>
      <c r="K122"/>
      <c r="N122">
        <v>729</v>
      </c>
      <c r="O122">
        <v>90536</v>
      </c>
      <c r="P122">
        <v>2808</v>
      </c>
      <c r="Q122" s="55" t="str">
        <f t="shared" si="1"/>
        <v>729905362808</v>
      </c>
    </row>
    <row r="123" spans="1:17" x14ac:dyDescent="0.25">
      <c r="A123" t="s">
        <v>408</v>
      </c>
      <c r="B123" s="10">
        <v>44426</v>
      </c>
      <c r="C123" s="94" t="s">
        <v>935</v>
      </c>
      <c r="D123" s="94" t="s">
        <v>935</v>
      </c>
      <c r="E123" s="59" t="s">
        <v>1072</v>
      </c>
      <c r="F123" s="10">
        <v>44380</v>
      </c>
      <c r="G123" s="10">
        <v>44379.064583333333</v>
      </c>
      <c r="H123" s="95" t="s">
        <v>23</v>
      </c>
      <c r="I123" t="s">
        <v>49</v>
      </c>
      <c r="J123" s="61">
        <f>MIN(Old85sTable[[#This Row],[RESOLVE DATE]]-Old85sTable[[#This Row],[HANDSHEET ISSUE DATE]],30)</f>
        <v>30</v>
      </c>
      <c r="K123"/>
      <c r="N123">
        <v>5</v>
      </c>
      <c r="O123">
        <v>23941</v>
      </c>
      <c r="P123">
        <v>2810</v>
      </c>
      <c r="Q123" s="55" t="str">
        <f t="shared" si="1"/>
        <v>5239412810</v>
      </c>
    </row>
    <row r="124" spans="1:17" x14ac:dyDescent="0.25">
      <c r="A124" t="s">
        <v>408</v>
      </c>
      <c r="B124" s="10">
        <v>44426</v>
      </c>
      <c r="C124" s="94" t="s">
        <v>935</v>
      </c>
      <c r="D124" s="94" t="s">
        <v>935</v>
      </c>
      <c r="E124" s="59" t="s">
        <v>1031</v>
      </c>
      <c r="F124" s="10">
        <v>44384</v>
      </c>
      <c r="G124" s="10">
        <v>44383.295138888891</v>
      </c>
      <c r="H124" s="95" t="s">
        <v>29</v>
      </c>
      <c r="I124" t="s">
        <v>45</v>
      </c>
      <c r="J124" s="61">
        <f>MIN(Old85sTable[[#This Row],[RESOLVE DATE]]-Old85sTable[[#This Row],[HANDSHEET ISSUE DATE]],30)</f>
        <v>30</v>
      </c>
      <c r="K124"/>
      <c r="N124">
        <v>130</v>
      </c>
      <c r="O124">
        <v>62985</v>
      </c>
      <c r="P124">
        <v>5229</v>
      </c>
      <c r="Q124" s="55" t="str">
        <f t="shared" si="1"/>
        <v>130629855229</v>
      </c>
    </row>
    <row r="125" spans="1:17" x14ac:dyDescent="0.25">
      <c r="A125" t="s">
        <v>408</v>
      </c>
      <c r="B125" s="10">
        <v>44426</v>
      </c>
      <c r="C125" s="94" t="s">
        <v>935</v>
      </c>
      <c r="D125" s="94" t="s">
        <v>935</v>
      </c>
      <c r="E125" s="59" t="s">
        <v>1032</v>
      </c>
      <c r="F125" s="10">
        <v>44386</v>
      </c>
      <c r="G125" s="10">
        <v>44385.190972222219</v>
      </c>
      <c r="H125" s="95" t="s">
        <v>23</v>
      </c>
      <c r="I125" t="s">
        <v>340</v>
      </c>
      <c r="J125" s="61">
        <f>MIN(Old85sTable[[#This Row],[RESOLVE DATE]]-Old85sTable[[#This Row],[HANDSHEET ISSUE DATE]],30)</f>
        <v>30</v>
      </c>
      <c r="K125"/>
      <c r="N125">
        <v>610</v>
      </c>
      <c r="O125">
        <v>97038</v>
      </c>
      <c r="P125">
        <v>5099</v>
      </c>
      <c r="Q125" s="55" t="str">
        <f t="shared" si="1"/>
        <v>610970385099</v>
      </c>
    </row>
    <row r="126" spans="1:17" x14ac:dyDescent="0.25">
      <c r="A126" t="s">
        <v>27</v>
      </c>
      <c r="B126" s="10">
        <v>44426</v>
      </c>
      <c r="C126" s="94" t="s">
        <v>935</v>
      </c>
      <c r="D126" s="94" t="s">
        <v>935</v>
      </c>
      <c r="E126" s="59" t="s">
        <v>1033</v>
      </c>
      <c r="F126" s="10">
        <v>44386</v>
      </c>
      <c r="G126" s="10">
        <v>44380.082638888889</v>
      </c>
      <c r="H126" s="95" t="s">
        <v>46</v>
      </c>
      <c r="J126" s="61">
        <f>MIN(Old85sTable[[#This Row],[RESOLVE DATE]]-Old85sTable[[#This Row],[HANDSHEET ISSUE DATE]],30)</f>
        <v>30</v>
      </c>
      <c r="K126"/>
      <c r="N126">
        <v>241</v>
      </c>
      <c r="O126">
        <v>87082</v>
      </c>
      <c r="P126">
        <v>9224</v>
      </c>
      <c r="Q126" s="55" t="str">
        <f t="shared" si="1"/>
        <v>241870829224</v>
      </c>
    </row>
    <row r="127" spans="1:17" x14ac:dyDescent="0.25">
      <c r="A127" t="s">
        <v>414</v>
      </c>
      <c r="B127" s="10">
        <v>44426</v>
      </c>
      <c r="C127" s="94" t="s">
        <v>935</v>
      </c>
      <c r="D127" s="94" t="s">
        <v>935</v>
      </c>
      <c r="E127" s="59" t="s">
        <v>1034</v>
      </c>
      <c r="F127" s="10">
        <v>44394</v>
      </c>
      <c r="G127" s="10">
        <v>44393.099305555559</v>
      </c>
      <c r="H127" s="95" t="s">
        <v>155</v>
      </c>
      <c r="J127" s="61">
        <f>MIN(Old85sTable[[#This Row],[RESOLVE DATE]]-Old85sTable[[#This Row],[HANDSHEET ISSUE DATE]],30)</f>
        <v>30</v>
      </c>
      <c r="K127"/>
      <c r="N127">
        <v>495</v>
      </c>
      <c r="O127">
        <v>83074</v>
      </c>
      <c r="P127">
        <v>2813</v>
      </c>
      <c r="Q127" s="55" t="str">
        <f t="shared" si="1"/>
        <v>495830742813</v>
      </c>
    </row>
    <row r="128" spans="1:17" x14ac:dyDescent="0.25">
      <c r="A128" t="s">
        <v>414</v>
      </c>
      <c r="B128" s="10">
        <v>44426</v>
      </c>
      <c r="C128" s="94" t="s">
        <v>935</v>
      </c>
      <c r="D128" s="94" t="s">
        <v>935</v>
      </c>
      <c r="E128" s="59" t="s">
        <v>1035</v>
      </c>
      <c r="F128" s="10">
        <v>44397</v>
      </c>
      <c r="G128" s="10">
        <v>44396.19027777778</v>
      </c>
      <c r="H128" s="95" t="s">
        <v>154</v>
      </c>
      <c r="J128" s="61">
        <f>MIN(Old85sTable[[#This Row],[RESOLVE DATE]]-Old85sTable[[#This Row],[HANDSHEET ISSUE DATE]],30)</f>
        <v>29</v>
      </c>
      <c r="K128"/>
      <c r="N128">
        <v>639</v>
      </c>
      <c r="O128">
        <v>89386</v>
      </c>
      <c r="P128">
        <v>5125</v>
      </c>
      <c r="Q128" s="55" t="str">
        <f t="shared" si="1"/>
        <v>639893865125</v>
      </c>
    </row>
    <row r="129" spans="1:17" x14ac:dyDescent="0.25">
      <c r="A129" t="s">
        <v>413</v>
      </c>
      <c r="B129" s="10">
        <v>44426</v>
      </c>
      <c r="C129" s="94" t="s">
        <v>935</v>
      </c>
      <c r="D129" s="94" t="s">
        <v>935</v>
      </c>
      <c r="E129" s="59" t="s">
        <v>1036</v>
      </c>
      <c r="F129" s="10">
        <v>44414</v>
      </c>
      <c r="G129" s="10">
        <v>44413.183333333334</v>
      </c>
      <c r="H129" s="95" t="s">
        <v>56</v>
      </c>
      <c r="I129" t="s">
        <v>45</v>
      </c>
      <c r="J129" s="61">
        <f>MIN(Old85sTable[[#This Row],[RESOLVE DATE]]-Old85sTable[[#This Row],[HANDSHEET ISSUE DATE]],30)</f>
        <v>12</v>
      </c>
      <c r="K129"/>
      <c r="N129">
        <v>840</v>
      </c>
      <c r="O129">
        <v>87802</v>
      </c>
      <c r="P129">
        <v>2802</v>
      </c>
      <c r="Q129" s="55" t="str">
        <f t="shared" si="1"/>
        <v>840878022802</v>
      </c>
    </row>
    <row r="130" spans="1:17" x14ac:dyDescent="0.25">
      <c r="A130" t="s">
        <v>413</v>
      </c>
      <c r="B130" s="10">
        <v>44427</v>
      </c>
      <c r="C130" s="94" t="s">
        <v>935</v>
      </c>
      <c r="D130" s="94" t="s">
        <v>935</v>
      </c>
      <c r="E130" s="59" t="s">
        <v>1037</v>
      </c>
      <c r="F130" s="10">
        <v>44408</v>
      </c>
      <c r="G130" s="10">
        <v>44407.256944444445</v>
      </c>
      <c r="H130" s="95" t="s">
        <v>208</v>
      </c>
      <c r="I130" t="s">
        <v>25</v>
      </c>
      <c r="J130" s="61">
        <f>MIN(Old85sTable[[#This Row],[RESOLVE DATE]]-Old85sTable[[#This Row],[HANDSHEET ISSUE DATE]],30)</f>
        <v>19</v>
      </c>
      <c r="K130"/>
      <c r="N130">
        <v>167</v>
      </c>
      <c r="O130">
        <v>13453</v>
      </c>
      <c r="P130">
        <v>2819</v>
      </c>
      <c r="Q130" s="55" t="str">
        <f t="shared" si="1"/>
        <v>167134532819</v>
      </c>
    </row>
    <row r="131" spans="1:17" x14ac:dyDescent="0.25">
      <c r="A131" t="s">
        <v>413</v>
      </c>
      <c r="B131" s="10">
        <v>44427</v>
      </c>
      <c r="C131" s="94" t="s">
        <v>935</v>
      </c>
      <c r="D131" s="94" t="s">
        <v>935</v>
      </c>
      <c r="E131" s="59" t="s">
        <v>1038</v>
      </c>
      <c r="F131" s="10">
        <v>44408</v>
      </c>
      <c r="G131" s="10">
        <v>44407.144444444442</v>
      </c>
      <c r="H131" s="95" t="s">
        <v>208</v>
      </c>
      <c r="I131" t="s">
        <v>45</v>
      </c>
      <c r="J131" s="61">
        <f>MIN(Old85sTable[[#This Row],[RESOLVE DATE]]-Old85sTable[[#This Row],[HANDSHEET ISSUE DATE]],30)</f>
        <v>19</v>
      </c>
      <c r="K131"/>
      <c r="N131">
        <v>610</v>
      </c>
      <c r="O131">
        <v>42180</v>
      </c>
      <c r="P131">
        <v>5108</v>
      </c>
      <c r="Q131" s="55" t="str">
        <f t="shared" si="1"/>
        <v>610421805108</v>
      </c>
    </row>
    <row r="132" spans="1:17" x14ac:dyDescent="0.25">
      <c r="A132" t="s">
        <v>413</v>
      </c>
      <c r="B132" s="10">
        <v>44427</v>
      </c>
      <c r="C132" s="94" t="s">
        <v>935</v>
      </c>
      <c r="D132" s="94" t="s">
        <v>935</v>
      </c>
      <c r="E132" s="59" t="s">
        <v>1039</v>
      </c>
      <c r="F132" s="10">
        <v>44408</v>
      </c>
      <c r="G132" s="10">
        <v>44407.134722222225</v>
      </c>
      <c r="H132" s="95" t="s">
        <v>208</v>
      </c>
      <c r="I132" t="s">
        <v>361</v>
      </c>
      <c r="J132" s="61">
        <f>MIN(Old85sTable[[#This Row],[RESOLVE DATE]]-Old85sTable[[#This Row],[HANDSHEET ISSUE DATE]],30)</f>
        <v>19</v>
      </c>
      <c r="K132"/>
      <c r="N132">
        <v>910</v>
      </c>
      <c r="O132">
        <v>69170</v>
      </c>
      <c r="P132">
        <v>5259</v>
      </c>
      <c r="Q132" s="55" t="str">
        <f t="shared" ref="Q132:Q143" si="2">_xlfn.CONCAT(N132,O132,P132)</f>
        <v>910691705259</v>
      </c>
    </row>
    <row r="133" spans="1:17" x14ac:dyDescent="0.25">
      <c r="A133" t="s">
        <v>410</v>
      </c>
      <c r="B133" s="10">
        <v>44427</v>
      </c>
      <c r="C133" s="94" t="s">
        <v>935</v>
      </c>
      <c r="D133" s="94" t="s">
        <v>935</v>
      </c>
      <c r="E133" s="59" t="s">
        <v>1040</v>
      </c>
      <c r="F133" s="10">
        <v>44422</v>
      </c>
      <c r="G133" s="10">
        <v>44421.232638888891</v>
      </c>
      <c r="H133" s="95" t="s">
        <v>320</v>
      </c>
      <c r="I133"/>
      <c r="J133" s="61">
        <f>MIN(Old85sTable[[#This Row],[RESOLVE DATE]]-Old85sTable[[#This Row],[HANDSHEET ISSUE DATE]],30)</f>
        <v>5</v>
      </c>
      <c r="K133"/>
      <c r="N133">
        <v>940</v>
      </c>
      <c r="O133">
        <v>70618</v>
      </c>
      <c r="P133">
        <v>2824</v>
      </c>
      <c r="Q133" s="55" t="str">
        <f t="shared" si="2"/>
        <v>940706182824</v>
      </c>
    </row>
    <row r="134" spans="1:17" x14ac:dyDescent="0.25">
      <c r="A134" t="s">
        <v>410</v>
      </c>
      <c r="B134" s="10">
        <v>44427</v>
      </c>
      <c r="C134" s="94" t="s">
        <v>935</v>
      </c>
      <c r="D134" s="94" t="s">
        <v>935</v>
      </c>
      <c r="E134" s="59" t="s">
        <v>1041</v>
      </c>
      <c r="F134" s="10">
        <v>44422</v>
      </c>
      <c r="G134" s="10">
        <v>44421.22152777778</v>
      </c>
      <c r="H134" s="95" t="s">
        <v>320</v>
      </c>
      <c r="I134"/>
      <c r="J134" s="61">
        <f>MIN(Old85sTable[[#This Row],[RESOLVE DATE]]-Old85sTable[[#This Row],[HANDSHEET ISSUE DATE]],30)</f>
        <v>5</v>
      </c>
      <c r="K134"/>
      <c r="N134">
        <v>300</v>
      </c>
      <c r="O134">
        <v>21750</v>
      </c>
      <c r="P134">
        <v>5266</v>
      </c>
      <c r="Q134" s="55" t="str">
        <f t="shared" si="2"/>
        <v>300217505266</v>
      </c>
    </row>
    <row r="135" spans="1:17" x14ac:dyDescent="0.25">
      <c r="A135" t="s">
        <v>411</v>
      </c>
      <c r="B135" s="10">
        <v>44427</v>
      </c>
      <c r="C135" s="94" t="s">
        <v>935</v>
      </c>
      <c r="D135" s="94" t="s">
        <v>935</v>
      </c>
      <c r="E135" s="59" t="s">
        <v>1042</v>
      </c>
      <c r="F135" s="10">
        <v>44425</v>
      </c>
      <c r="G135" s="10">
        <v>44424.190972222219</v>
      </c>
      <c r="H135" s="95" t="s">
        <v>43</v>
      </c>
      <c r="J135" s="61">
        <f>MIN(Old85sTable[[#This Row],[RESOLVE DATE]]-Old85sTable[[#This Row],[HANDSHEET ISSUE DATE]],30)</f>
        <v>2</v>
      </c>
      <c r="K135"/>
      <c r="N135">
        <v>428</v>
      </c>
      <c r="O135">
        <v>43522</v>
      </c>
      <c r="P135">
        <v>2823</v>
      </c>
      <c r="Q135" s="55" t="str">
        <f t="shared" si="2"/>
        <v>428435222823</v>
      </c>
    </row>
    <row r="136" spans="1:17" x14ac:dyDescent="0.25">
      <c r="A136" t="s">
        <v>414</v>
      </c>
      <c r="B136" s="10">
        <v>44427</v>
      </c>
      <c r="C136" s="94" t="s">
        <v>935</v>
      </c>
      <c r="D136" s="94" t="s">
        <v>935</v>
      </c>
      <c r="E136" s="59" t="s">
        <v>1074</v>
      </c>
      <c r="F136" s="10">
        <v>44425</v>
      </c>
      <c r="G136" s="10">
        <v>44424.147222222222</v>
      </c>
      <c r="H136" s="95" t="s">
        <v>58</v>
      </c>
      <c r="J136" s="61">
        <f>MIN(Old85sTable[[#This Row],[RESOLVE DATE]]-Old85sTable[[#This Row],[HANDSHEET ISSUE DATE]],30)</f>
        <v>2</v>
      </c>
      <c r="K136"/>
      <c r="N136">
        <v>71</v>
      </c>
      <c r="O136">
        <v>73224</v>
      </c>
      <c r="P136">
        <v>2824</v>
      </c>
      <c r="Q136" s="55" t="str">
        <f t="shared" si="2"/>
        <v>71732242824</v>
      </c>
    </row>
    <row r="137" spans="1:17" x14ac:dyDescent="0.25">
      <c r="A137" t="s">
        <v>414</v>
      </c>
      <c r="B137" s="10">
        <v>44427</v>
      </c>
      <c r="C137" s="94" t="s">
        <v>935</v>
      </c>
      <c r="D137" s="94" t="s">
        <v>935</v>
      </c>
      <c r="E137" s="59" t="s">
        <v>1073</v>
      </c>
      <c r="F137" s="10">
        <v>44425</v>
      </c>
      <c r="G137" s="10">
        <v>44424.274305555555</v>
      </c>
      <c r="H137" s="95" t="s">
        <v>58</v>
      </c>
      <c r="J137" s="61">
        <f>MIN(Old85sTable[[#This Row],[RESOLVE DATE]]-Old85sTable[[#This Row],[HANDSHEET ISSUE DATE]],30)</f>
        <v>2</v>
      </c>
      <c r="K137"/>
      <c r="N137">
        <v>9</v>
      </c>
      <c r="O137">
        <v>81886</v>
      </c>
      <c r="P137">
        <v>5227</v>
      </c>
      <c r="Q137" s="55" t="str">
        <f t="shared" si="2"/>
        <v>9818865227</v>
      </c>
    </row>
    <row r="138" spans="1:17" x14ac:dyDescent="0.25">
      <c r="A138" t="s">
        <v>414</v>
      </c>
      <c r="B138" s="10">
        <v>44427</v>
      </c>
      <c r="C138" s="94" t="s">
        <v>935</v>
      </c>
      <c r="D138" s="94" t="s">
        <v>935</v>
      </c>
      <c r="E138" s="59" t="s">
        <v>1043</v>
      </c>
      <c r="F138" s="10">
        <v>44425</v>
      </c>
      <c r="G138" s="10">
        <v>44424.099305555559</v>
      </c>
      <c r="H138" s="95" t="s">
        <v>58</v>
      </c>
      <c r="J138" s="61">
        <f>MIN(Old85sTable[[#This Row],[RESOLVE DATE]]-Old85sTable[[#This Row],[HANDSHEET ISSUE DATE]],30)</f>
        <v>2</v>
      </c>
      <c r="K138"/>
      <c r="N138">
        <v>963</v>
      </c>
      <c r="O138">
        <v>91543</v>
      </c>
      <c r="P138">
        <v>7744</v>
      </c>
      <c r="Q138" s="55" t="str">
        <f t="shared" si="2"/>
        <v>963915437744</v>
      </c>
    </row>
    <row r="139" spans="1:17" x14ac:dyDescent="0.25">
      <c r="A139" t="s">
        <v>415</v>
      </c>
      <c r="B139" s="10">
        <v>44427</v>
      </c>
      <c r="C139" s="94" t="s">
        <v>935</v>
      </c>
      <c r="D139" s="94" t="s">
        <v>935</v>
      </c>
      <c r="E139" s="59" t="s">
        <v>1044</v>
      </c>
      <c r="F139" s="10">
        <v>44427</v>
      </c>
      <c r="G139" s="10">
        <v>44426.206250000003</v>
      </c>
      <c r="H139" s="95" t="s">
        <v>288</v>
      </c>
      <c r="J139" s="61">
        <f>MIN(Old85sTable[[#This Row],[RESOLVE DATE]]-Old85sTable[[#This Row],[HANDSHEET ISSUE DATE]],30)</f>
        <v>0</v>
      </c>
      <c r="K139"/>
      <c r="N139">
        <v>990</v>
      </c>
      <c r="O139">
        <v>70711</v>
      </c>
      <c r="P139">
        <v>5260</v>
      </c>
      <c r="Q139" s="55" t="str">
        <f t="shared" si="2"/>
        <v>990707115260</v>
      </c>
    </row>
    <row r="140" spans="1:17" x14ac:dyDescent="0.25">
      <c r="A140" t="s">
        <v>415</v>
      </c>
      <c r="B140" s="10">
        <v>44427</v>
      </c>
      <c r="C140" s="94" t="s">
        <v>935</v>
      </c>
      <c r="D140" s="94" t="s">
        <v>935</v>
      </c>
      <c r="E140" s="59" t="s">
        <v>1075</v>
      </c>
      <c r="F140" s="10">
        <v>44427</v>
      </c>
      <c r="G140" s="10">
        <v>44426.261805555558</v>
      </c>
      <c r="H140" s="95" t="s">
        <v>269</v>
      </c>
      <c r="J140" s="61">
        <f>MIN(Old85sTable[[#This Row],[RESOLVE DATE]]-Old85sTable[[#This Row],[HANDSHEET ISSUE DATE]],30)</f>
        <v>0</v>
      </c>
      <c r="K140"/>
      <c r="N140">
        <v>50</v>
      </c>
      <c r="O140">
        <v>4309</v>
      </c>
      <c r="P140">
        <v>2823</v>
      </c>
      <c r="Q140" s="55" t="str">
        <f t="shared" si="2"/>
        <v>5043092823</v>
      </c>
    </row>
    <row r="141" spans="1:17" x14ac:dyDescent="0.25">
      <c r="A141" t="s">
        <v>415</v>
      </c>
      <c r="B141" s="10">
        <v>44428</v>
      </c>
      <c r="C141" s="94" t="s">
        <v>935</v>
      </c>
      <c r="D141" s="94" t="s">
        <v>935</v>
      </c>
      <c r="E141" s="59" t="s">
        <v>1045</v>
      </c>
      <c r="F141" s="10">
        <v>44428</v>
      </c>
      <c r="G141" s="10">
        <v>44427.1</v>
      </c>
      <c r="H141" s="95" t="s">
        <v>190</v>
      </c>
      <c r="J141" s="61">
        <f>MIN(Old85sTable[[#This Row],[RESOLVE DATE]]-Old85sTable[[#This Row],[HANDSHEET ISSUE DATE]],30)</f>
        <v>0</v>
      </c>
      <c r="K141"/>
      <c r="N141">
        <v>916</v>
      </c>
      <c r="O141">
        <v>38385</v>
      </c>
      <c r="P141">
        <v>3843</v>
      </c>
      <c r="Q141" s="55" t="str">
        <f t="shared" si="2"/>
        <v>916383853843</v>
      </c>
    </row>
    <row r="142" spans="1:17" x14ac:dyDescent="0.25">
      <c r="A142" t="s">
        <v>416</v>
      </c>
      <c r="B142" s="10">
        <v>44429</v>
      </c>
      <c r="C142" s="94" t="s">
        <v>935</v>
      </c>
      <c r="D142" s="94" t="s">
        <v>935</v>
      </c>
      <c r="E142" s="59" t="s">
        <v>1076</v>
      </c>
      <c r="F142" s="10">
        <v>44429</v>
      </c>
      <c r="G142" s="10">
        <v>44428.155555555553</v>
      </c>
      <c r="H142" s="95" t="s">
        <v>59</v>
      </c>
      <c r="I142"/>
      <c r="J142" s="61">
        <f>MIN(Old85sTable[[#This Row],[RESOLVE DATE]]-Old85sTable[[#This Row],[HANDSHEET ISSUE DATE]],30)</f>
        <v>0</v>
      </c>
      <c r="K142"/>
      <c r="N142">
        <v>50</v>
      </c>
      <c r="O142">
        <v>32891</v>
      </c>
      <c r="P142">
        <v>5275</v>
      </c>
      <c r="Q142" s="55" t="str">
        <f t="shared" si="2"/>
        <v>50328915275</v>
      </c>
    </row>
    <row r="143" spans="1:17" x14ac:dyDescent="0.25">
      <c r="A143" t="s">
        <v>416</v>
      </c>
      <c r="B143" s="10">
        <v>44429</v>
      </c>
      <c r="C143" s="94" t="s">
        <v>935</v>
      </c>
      <c r="D143" s="94" t="s">
        <v>935</v>
      </c>
      <c r="E143" s="59" t="s">
        <v>1046</v>
      </c>
      <c r="F143" s="10">
        <v>44429</v>
      </c>
      <c r="G143" s="10">
        <v>44428.268055555556</v>
      </c>
      <c r="H143" s="95" t="s">
        <v>59</v>
      </c>
      <c r="I143"/>
      <c r="J143" s="61">
        <f>MIN(Old85sTable[[#This Row],[RESOLVE DATE]]-Old85sTable[[#This Row],[HANDSHEET ISSUE DATE]],30)</f>
        <v>0</v>
      </c>
      <c r="K143"/>
      <c r="N143">
        <v>398</v>
      </c>
      <c r="O143">
        <v>32952</v>
      </c>
      <c r="P143">
        <v>5275</v>
      </c>
      <c r="Q143" s="55" t="str">
        <f t="shared" si="2"/>
        <v>398329525275</v>
      </c>
    </row>
    <row r="144" spans="1:17" x14ac:dyDescent="0.25">
      <c r="A144"/>
      <c r="B144"/>
      <c r="C144"/>
      <c r="D144"/>
      <c r="E144"/>
      <c r="F144"/>
      <c r="G144"/>
      <c r="H144"/>
      <c r="I144"/>
      <c r="J144"/>
      <c r="K144"/>
      <c r="N144"/>
      <c r="O144"/>
      <c r="P144"/>
    </row>
    <row r="145" spans="1:16" x14ac:dyDescent="0.25">
      <c r="A145"/>
      <c r="B145"/>
      <c r="C145"/>
      <c r="D145"/>
      <c r="E145"/>
      <c r="F145"/>
      <c r="G145"/>
      <c r="H145"/>
      <c r="I145"/>
      <c r="J145"/>
      <c r="K145"/>
      <c r="N145"/>
      <c r="O145"/>
      <c r="P145"/>
    </row>
    <row r="146" spans="1:16" x14ac:dyDescent="0.25">
      <c r="A146"/>
      <c r="B146"/>
      <c r="C146"/>
      <c r="D146"/>
      <c r="E146"/>
      <c r="F146"/>
      <c r="G146"/>
      <c r="H146"/>
      <c r="I146"/>
      <c r="J146"/>
      <c r="K146"/>
      <c r="N146"/>
      <c r="O146"/>
      <c r="P146"/>
    </row>
    <row r="147" spans="1:16" x14ac:dyDescent="0.25">
      <c r="A147"/>
      <c r="B147"/>
      <c r="C147"/>
      <c r="D147"/>
      <c r="E147"/>
      <c r="F147"/>
      <c r="G147"/>
      <c r="H147"/>
      <c r="I147"/>
      <c r="J147"/>
      <c r="K147"/>
      <c r="N147"/>
      <c r="O147"/>
      <c r="P147"/>
    </row>
    <row r="148" spans="1:16" x14ac:dyDescent="0.25">
      <c r="A148"/>
      <c r="B148"/>
      <c r="C148"/>
      <c r="D148"/>
      <c r="E148"/>
      <c r="F148"/>
      <c r="G148"/>
      <c r="H148"/>
      <c r="I148"/>
      <c r="J148"/>
      <c r="K148"/>
      <c r="N148"/>
      <c r="O148"/>
      <c r="P148"/>
    </row>
    <row r="149" spans="1:16" x14ac:dyDescent="0.25">
      <c r="A149"/>
      <c r="B149"/>
      <c r="C149"/>
      <c r="D149"/>
      <c r="E149"/>
      <c r="F149"/>
      <c r="G149"/>
      <c r="H149"/>
      <c r="I149"/>
      <c r="J149"/>
      <c r="K149"/>
      <c r="N149"/>
      <c r="O149"/>
      <c r="P149"/>
    </row>
    <row r="150" spans="1:16" x14ac:dyDescent="0.25">
      <c r="A150"/>
      <c r="B150"/>
      <c r="C150"/>
      <c r="D150"/>
      <c r="E150"/>
      <c r="F150"/>
      <c r="G150"/>
      <c r="H150"/>
      <c r="I150"/>
      <c r="J150"/>
      <c r="K150"/>
      <c r="N150"/>
      <c r="O150"/>
      <c r="P150"/>
    </row>
    <row r="151" spans="1:16" x14ac:dyDescent="0.25">
      <c r="A151"/>
      <c r="B151"/>
      <c r="C151"/>
      <c r="D151"/>
      <c r="E151"/>
      <c r="F151"/>
      <c r="G151"/>
      <c r="H151"/>
      <c r="I151"/>
      <c r="J151"/>
      <c r="K151"/>
      <c r="N151"/>
      <c r="O151"/>
      <c r="P151"/>
    </row>
    <row r="152" spans="1:16" x14ac:dyDescent="0.25">
      <c r="A152"/>
      <c r="B152"/>
      <c r="C152"/>
      <c r="D152"/>
      <c r="E152"/>
      <c r="F152"/>
      <c r="G152"/>
      <c r="H152"/>
      <c r="I152"/>
      <c r="J152"/>
      <c r="K152"/>
      <c r="N152"/>
      <c r="O152"/>
      <c r="P152"/>
    </row>
    <row r="153" spans="1:16" x14ac:dyDescent="0.25">
      <c r="A153"/>
      <c r="B153"/>
      <c r="C153"/>
      <c r="D153"/>
      <c r="E153"/>
      <c r="F153"/>
      <c r="G153"/>
      <c r="H153"/>
      <c r="I153"/>
      <c r="J153"/>
      <c r="K153"/>
      <c r="N153"/>
      <c r="O153"/>
      <c r="P153"/>
    </row>
    <row r="154" spans="1:16" x14ac:dyDescent="0.25">
      <c r="A154"/>
      <c r="B154"/>
      <c r="C154"/>
      <c r="D154"/>
      <c r="E154"/>
      <c r="F154"/>
      <c r="G154"/>
      <c r="H154"/>
      <c r="I154"/>
      <c r="J154"/>
      <c r="K154"/>
      <c r="N154"/>
      <c r="O154"/>
      <c r="P154"/>
    </row>
    <row r="155" spans="1:16" x14ac:dyDescent="0.25">
      <c r="A155"/>
      <c r="B155"/>
      <c r="C155"/>
      <c r="D155"/>
      <c r="E155"/>
      <c r="F155"/>
      <c r="G155"/>
      <c r="H155"/>
      <c r="I155"/>
      <c r="J155"/>
      <c r="K155"/>
      <c r="N155"/>
      <c r="O155"/>
      <c r="P155"/>
    </row>
    <row r="156" spans="1:16" x14ac:dyDescent="0.25">
      <c r="A156"/>
      <c r="B156"/>
      <c r="C156"/>
      <c r="D156"/>
      <c r="E156"/>
      <c r="F156"/>
      <c r="G156"/>
      <c r="H156"/>
      <c r="I156"/>
      <c r="J156"/>
      <c r="K156"/>
      <c r="N156"/>
      <c r="O156"/>
      <c r="P156"/>
    </row>
    <row r="157" spans="1:16" x14ac:dyDescent="0.25">
      <c r="A157"/>
      <c r="B157"/>
      <c r="C157"/>
      <c r="D157"/>
      <c r="E157"/>
      <c r="F157"/>
      <c r="G157"/>
      <c r="H157"/>
      <c r="I157"/>
      <c r="J157"/>
      <c r="K157"/>
      <c r="N157"/>
      <c r="O157"/>
      <c r="P157"/>
    </row>
    <row r="158" spans="1:16" x14ac:dyDescent="0.25">
      <c r="A158"/>
      <c r="B158"/>
      <c r="C158"/>
      <c r="D158"/>
      <c r="E158"/>
      <c r="F158"/>
      <c r="G158"/>
      <c r="H158"/>
      <c r="I158"/>
      <c r="J158"/>
      <c r="K158"/>
      <c r="N158"/>
      <c r="O158"/>
      <c r="P158"/>
    </row>
    <row r="159" spans="1:16" x14ac:dyDescent="0.25">
      <c r="A159"/>
      <c r="B159"/>
      <c r="C159"/>
      <c r="D159"/>
      <c r="E159"/>
      <c r="F159"/>
      <c r="G159"/>
      <c r="H159"/>
      <c r="I159"/>
      <c r="J159"/>
      <c r="K159"/>
      <c r="N159"/>
      <c r="O159"/>
      <c r="P159"/>
    </row>
    <row r="160" spans="1:16" x14ac:dyDescent="0.25">
      <c r="A160"/>
      <c r="B160"/>
      <c r="C160"/>
      <c r="D160"/>
      <c r="E160"/>
      <c r="F160"/>
      <c r="G160"/>
      <c r="H160"/>
      <c r="I160"/>
      <c r="J160"/>
      <c r="K160"/>
      <c r="N160"/>
      <c r="O160"/>
      <c r="P160"/>
    </row>
    <row r="161" spans="1:16" x14ac:dyDescent="0.25">
      <c r="A161"/>
      <c r="B161"/>
      <c r="C161"/>
      <c r="D161"/>
      <c r="E161"/>
      <c r="F161"/>
      <c r="G161"/>
      <c r="H161"/>
      <c r="I161"/>
      <c r="J161"/>
      <c r="K161"/>
      <c r="N161"/>
      <c r="O161"/>
      <c r="P161"/>
    </row>
    <row r="162" spans="1:16" x14ac:dyDescent="0.25">
      <c r="A162"/>
      <c r="B162"/>
      <c r="C162"/>
      <c r="D162"/>
      <c r="E162"/>
      <c r="F162"/>
      <c r="G162"/>
      <c r="H162"/>
      <c r="I162"/>
      <c r="J162"/>
      <c r="K162"/>
      <c r="N162"/>
      <c r="O162"/>
      <c r="P162"/>
    </row>
    <row r="163" spans="1:16" x14ac:dyDescent="0.25">
      <c r="A163"/>
      <c r="B163"/>
      <c r="C163"/>
      <c r="D163"/>
      <c r="E163"/>
      <c r="F163"/>
      <c r="G163"/>
      <c r="H163"/>
      <c r="I163"/>
      <c r="J163"/>
      <c r="K163"/>
      <c r="N163"/>
      <c r="O163"/>
      <c r="P163"/>
    </row>
    <row r="164" spans="1:16" x14ac:dyDescent="0.25">
      <c r="A164"/>
      <c r="B164"/>
      <c r="C164"/>
      <c r="D164"/>
      <c r="E164"/>
      <c r="F164"/>
      <c r="G164"/>
      <c r="H164"/>
      <c r="I164"/>
      <c r="J164"/>
      <c r="K164"/>
      <c r="N164"/>
      <c r="O164"/>
      <c r="P164"/>
    </row>
    <row r="165" spans="1:16" x14ac:dyDescent="0.25">
      <c r="A165"/>
      <c r="B165"/>
      <c r="C165"/>
      <c r="D165"/>
      <c r="E165"/>
      <c r="F165"/>
      <c r="G165"/>
      <c r="H165"/>
      <c r="I165"/>
      <c r="J165"/>
      <c r="K165"/>
      <c r="N165"/>
      <c r="O165"/>
      <c r="P165"/>
    </row>
    <row r="166" spans="1:16" x14ac:dyDescent="0.25">
      <c r="A166"/>
      <c r="B166"/>
      <c r="C166"/>
      <c r="D166"/>
      <c r="E166"/>
      <c r="F166"/>
      <c r="G166"/>
      <c r="H166"/>
      <c r="I166"/>
      <c r="J166"/>
      <c r="K166"/>
      <c r="N166"/>
      <c r="O166"/>
      <c r="P166"/>
    </row>
    <row r="167" spans="1:16" x14ac:dyDescent="0.25">
      <c r="A167"/>
      <c r="B167"/>
      <c r="C167"/>
      <c r="D167"/>
      <c r="E167"/>
      <c r="F167"/>
      <c r="G167"/>
      <c r="H167"/>
      <c r="I167"/>
      <c r="J167"/>
      <c r="K167"/>
      <c r="N167"/>
      <c r="O167"/>
      <c r="P167"/>
    </row>
    <row r="168" spans="1:16" x14ac:dyDescent="0.25">
      <c r="A168"/>
      <c r="B168"/>
      <c r="C168"/>
      <c r="D168"/>
      <c r="E168"/>
      <c r="F168"/>
      <c r="G168"/>
      <c r="H168"/>
      <c r="I168"/>
      <c r="J168"/>
      <c r="K168"/>
      <c r="N168"/>
      <c r="O168"/>
      <c r="P168"/>
    </row>
    <row r="169" spans="1:16" x14ac:dyDescent="0.25">
      <c r="A169"/>
      <c r="B169"/>
      <c r="C169"/>
      <c r="D169"/>
      <c r="E169"/>
      <c r="F169"/>
      <c r="G169"/>
      <c r="H169"/>
      <c r="I169"/>
      <c r="J169"/>
      <c r="K169"/>
      <c r="N169"/>
      <c r="O169"/>
      <c r="P169"/>
    </row>
    <row r="170" spans="1:16" x14ac:dyDescent="0.25">
      <c r="A170"/>
      <c r="B170"/>
      <c r="C170"/>
      <c r="D170"/>
      <c r="E170"/>
      <c r="F170"/>
      <c r="G170"/>
      <c r="H170"/>
      <c r="I170"/>
      <c r="J170"/>
      <c r="K170"/>
      <c r="N170"/>
      <c r="O170"/>
      <c r="P170"/>
    </row>
    <row r="171" spans="1:16" x14ac:dyDescent="0.25">
      <c r="A171"/>
      <c r="B171"/>
      <c r="C171"/>
      <c r="D171"/>
      <c r="E171"/>
      <c r="F171"/>
      <c r="G171"/>
      <c r="H171"/>
      <c r="I171"/>
      <c r="J171"/>
      <c r="K171"/>
      <c r="N171"/>
      <c r="O171"/>
      <c r="P171"/>
    </row>
    <row r="172" spans="1:16" x14ac:dyDescent="0.25">
      <c r="A172"/>
      <c r="B172"/>
      <c r="C172"/>
      <c r="D172"/>
      <c r="E172"/>
      <c r="F172"/>
      <c r="G172"/>
      <c r="H172"/>
      <c r="I172"/>
      <c r="J172"/>
      <c r="K172"/>
      <c r="N172"/>
      <c r="O172"/>
      <c r="P172"/>
    </row>
    <row r="173" spans="1:16" x14ac:dyDescent="0.25">
      <c r="A173"/>
      <c r="B173"/>
      <c r="C173"/>
      <c r="D173"/>
      <c r="E173"/>
      <c r="F173"/>
      <c r="G173"/>
      <c r="H173"/>
      <c r="I173"/>
      <c r="J173"/>
      <c r="K173"/>
      <c r="N173"/>
      <c r="O173"/>
      <c r="P173"/>
    </row>
    <row r="174" spans="1:16" x14ac:dyDescent="0.25">
      <c r="A174"/>
      <c r="B174"/>
      <c r="C174"/>
      <c r="D174"/>
      <c r="E174"/>
      <c r="F174"/>
      <c r="G174"/>
      <c r="H174"/>
      <c r="I174"/>
      <c r="J174"/>
      <c r="K174"/>
      <c r="N174"/>
      <c r="O174"/>
      <c r="P174"/>
    </row>
    <row r="175" spans="1:16" x14ac:dyDescent="0.25">
      <c r="A175"/>
      <c r="B175"/>
      <c r="C175"/>
      <c r="D175"/>
      <c r="E175"/>
      <c r="F175"/>
      <c r="G175"/>
      <c r="H175"/>
      <c r="I175"/>
      <c r="J175"/>
      <c r="K175"/>
      <c r="N175"/>
      <c r="O175"/>
      <c r="P175"/>
    </row>
    <row r="176" spans="1:16" x14ac:dyDescent="0.25">
      <c r="A176"/>
      <c r="B176"/>
      <c r="C176"/>
      <c r="D176"/>
      <c r="E176"/>
      <c r="F176"/>
      <c r="G176"/>
      <c r="H176"/>
      <c r="I176"/>
      <c r="J176"/>
      <c r="K176"/>
      <c r="N176"/>
      <c r="O176"/>
      <c r="P176"/>
    </row>
    <row r="177" spans="1:16" x14ac:dyDescent="0.25">
      <c r="A177"/>
      <c r="B177"/>
      <c r="C177"/>
      <c r="D177"/>
      <c r="E177"/>
      <c r="F177"/>
      <c r="G177"/>
      <c r="H177"/>
      <c r="I177"/>
      <c r="J177"/>
      <c r="K177"/>
      <c r="N177"/>
      <c r="O177"/>
      <c r="P177"/>
    </row>
    <row r="178" spans="1:16" x14ac:dyDescent="0.25">
      <c r="A178"/>
      <c r="B178"/>
      <c r="C178"/>
      <c r="D178"/>
      <c r="E178"/>
      <c r="F178"/>
      <c r="G178"/>
      <c r="H178"/>
      <c r="I178"/>
      <c r="J178"/>
      <c r="K178"/>
      <c r="N178"/>
      <c r="O178"/>
      <c r="P178"/>
    </row>
    <row r="179" spans="1:16" x14ac:dyDescent="0.25">
      <c r="A179"/>
      <c r="B179"/>
      <c r="C179"/>
      <c r="D179"/>
      <c r="E179"/>
      <c r="F179"/>
      <c r="G179"/>
      <c r="H179"/>
      <c r="I179"/>
      <c r="J179"/>
      <c r="K179"/>
      <c r="N179"/>
      <c r="O179"/>
      <c r="P179"/>
    </row>
    <row r="180" spans="1:16" x14ac:dyDescent="0.25">
      <c r="A180"/>
      <c r="B180"/>
      <c r="C180"/>
      <c r="D180"/>
      <c r="E180"/>
      <c r="F180"/>
      <c r="G180"/>
      <c r="H180"/>
      <c r="I180"/>
      <c r="J180"/>
      <c r="K180"/>
      <c r="N180"/>
      <c r="O180"/>
      <c r="P180"/>
    </row>
    <row r="181" spans="1:16" x14ac:dyDescent="0.25">
      <c r="A181"/>
      <c r="B181"/>
      <c r="C181"/>
      <c r="D181"/>
      <c r="E181"/>
      <c r="F181"/>
      <c r="G181"/>
      <c r="H181"/>
      <c r="I181"/>
      <c r="J181"/>
      <c r="K181"/>
      <c r="N181"/>
      <c r="O181"/>
      <c r="P181"/>
    </row>
    <row r="182" spans="1:16" x14ac:dyDescent="0.25">
      <c r="A182"/>
      <c r="B182"/>
      <c r="C182"/>
      <c r="D182"/>
      <c r="E182"/>
      <c r="F182"/>
      <c r="G182"/>
      <c r="H182"/>
      <c r="I182"/>
      <c r="J182"/>
      <c r="K182"/>
      <c r="N182"/>
      <c r="O182"/>
      <c r="P182"/>
    </row>
    <row r="183" spans="1:16" x14ac:dyDescent="0.25">
      <c r="A183"/>
      <c r="B183"/>
      <c r="C183"/>
      <c r="D183"/>
      <c r="E183"/>
      <c r="F183"/>
      <c r="G183"/>
      <c r="H183"/>
      <c r="I183"/>
      <c r="J183"/>
      <c r="K183"/>
      <c r="N183"/>
      <c r="O183"/>
      <c r="P183"/>
    </row>
    <row r="184" spans="1:16" x14ac:dyDescent="0.25">
      <c r="A184"/>
      <c r="B184"/>
      <c r="C184"/>
      <c r="D184"/>
      <c r="E184"/>
      <c r="F184"/>
      <c r="G184"/>
      <c r="H184"/>
      <c r="I184"/>
      <c r="J184"/>
      <c r="K184"/>
      <c r="N184"/>
      <c r="O184"/>
      <c r="P184"/>
    </row>
    <row r="185" spans="1:16" x14ac:dyDescent="0.25">
      <c r="A185"/>
      <c r="B185"/>
      <c r="C185"/>
      <c r="D185"/>
      <c r="E185"/>
      <c r="F185"/>
      <c r="G185"/>
      <c r="H185"/>
      <c r="I185"/>
      <c r="J185"/>
      <c r="K185"/>
      <c r="N185"/>
      <c r="O185"/>
      <c r="P185"/>
    </row>
    <row r="186" spans="1:16" x14ac:dyDescent="0.25">
      <c r="A186"/>
      <c r="B186"/>
      <c r="C186"/>
      <c r="D186"/>
      <c r="E186"/>
      <c r="F186"/>
      <c r="G186"/>
      <c r="H186"/>
      <c r="I186"/>
      <c r="J186"/>
      <c r="K186"/>
      <c r="N186"/>
      <c r="O186"/>
      <c r="P186"/>
    </row>
    <row r="187" spans="1:16" x14ac:dyDescent="0.25">
      <c r="A187"/>
      <c r="B187"/>
      <c r="C187"/>
      <c r="D187"/>
      <c r="E187"/>
      <c r="F187"/>
      <c r="G187"/>
      <c r="H187"/>
      <c r="I187"/>
      <c r="J187"/>
      <c r="K187"/>
      <c r="N187"/>
      <c r="O187"/>
      <c r="P187"/>
    </row>
    <row r="188" spans="1:16" x14ac:dyDescent="0.25">
      <c r="A188"/>
      <c r="B188"/>
      <c r="C188"/>
      <c r="D188"/>
      <c r="E188"/>
      <c r="F188"/>
      <c r="G188"/>
      <c r="H188"/>
      <c r="I188"/>
      <c r="J188"/>
      <c r="K188"/>
      <c r="N188"/>
      <c r="O188"/>
      <c r="P188"/>
    </row>
    <row r="189" spans="1:16" x14ac:dyDescent="0.25">
      <c r="A189"/>
      <c r="B189"/>
      <c r="C189"/>
      <c r="D189"/>
      <c r="E189"/>
      <c r="F189"/>
      <c r="G189"/>
      <c r="H189"/>
      <c r="I189"/>
      <c r="J189"/>
      <c r="K189"/>
      <c r="N189"/>
      <c r="O189"/>
      <c r="P189"/>
    </row>
    <row r="190" spans="1:16" x14ac:dyDescent="0.25">
      <c r="A190"/>
      <c r="B190"/>
      <c r="C190"/>
      <c r="D190"/>
      <c r="E190"/>
      <c r="F190"/>
      <c r="G190"/>
      <c r="H190"/>
      <c r="I190"/>
      <c r="J190"/>
      <c r="K190"/>
      <c r="N190"/>
      <c r="O190"/>
      <c r="P190"/>
    </row>
    <row r="191" spans="1:16" x14ac:dyDescent="0.25">
      <c r="A191"/>
      <c r="B191"/>
      <c r="C191"/>
      <c r="D191"/>
      <c r="E191"/>
      <c r="F191"/>
      <c r="G191"/>
      <c r="H191"/>
      <c r="I191"/>
      <c r="J191"/>
      <c r="K191"/>
      <c r="N191"/>
      <c r="O191"/>
      <c r="P191"/>
    </row>
    <row r="192" spans="1:16" x14ac:dyDescent="0.25">
      <c r="A192"/>
      <c r="B192"/>
      <c r="C192"/>
      <c r="D192"/>
      <c r="E192"/>
      <c r="F192"/>
      <c r="G192"/>
      <c r="H192"/>
      <c r="I192"/>
      <c r="J192"/>
      <c r="K192"/>
      <c r="N192"/>
      <c r="O192"/>
      <c r="P192"/>
    </row>
    <row r="193" spans="1:16" x14ac:dyDescent="0.25">
      <c r="A193"/>
      <c r="B193"/>
      <c r="C193"/>
      <c r="D193"/>
      <c r="E193"/>
      <c r="F193"/>
      <c r="G193"/>
      <c r="H193"/>
      <c r="I193"/>
      <c r="J193"/>
      <c r="K193"/>
      <c r="N193"/>
      <c r="O193"/>
      <c r="P193"/>
    </row>
    <row r="194" spans="1:16" x14ac:dyDescent="0.25">
      <c r="A194"/>
      <c r="B194"/>
      <c r="C194"/>
      <c r="D194"/>
      <c r="E194"/>
      <c r="F194"/>
      <c r="G194"/>
      <c r="H194"/>
      <c r="I194"/>
      <c r="J194"/>
      <c r="K194"/>
      <c r="N194"/>
      <c r="O194"/>
      <c r="P194"/>
    </row>
    <row r="195" spans="1:16" x14ac:dyDescent="0.25">
      <c r="A195"/>
      <c r="B195"/>
      <c r="C195"/>
      <c r="D195"/>
      <c r="E195"/>
      <c r="F195"/>
      <c r="G195"/>
      <c r="H195"/>
      <c r="I195"/>
      <c r="J195"/>
      <c r="K195"/>
      <c r="N195"/>
      <c r="O195"/>
      <c r="P195"/>
    </row>
    <row r="196" spans="1:16" x14ac:dyDescent="0.25">
      <c r="A196"/>
      <c r="B196"/>
      <c r="C196"/>
      <c r="D196"/>
      <c r="E196"/>
      <c r="F196"/>
      <c r="G196"/>
      <c r="H196"/>
      <c r="I196"/>
      <c r="J196"/>
      <c r="K196"/>
      <c r="N196"/>
      <c r="O196"/>
      <c r="P196"/>
    </row>
    <row r="197" spans="1:16" x14ac:dyDescent="0.25">
      <c r="A197"/>
      <c r="B197"/>
      <c r="C197"/>
      <c r="D197"/>
      <c r="E197"/>
      <c r="F197"/>
      <c r="G197"/>
      <c r="H197"/>
      <c r="I197"/>
      <c r="J197"/>
      <c r="K197"/>
      <c r="N197"/>
      <c r="O197"/>
      <c r="P197"/>
    </row>
    <row r="198" spans="1:16" x14ac:dyDescent="0.25">
      <c r="A198"/>
      <c r="B198"/>
      <c r="C198"/>
      <c r="D198"/>
      <c r="E198"/>
      <c r="F198"/>
      <c r="G198"/>
      <c r="H198"/>
      <c r="I198"/>
      <c r="J198"/>
      <c r="K198"/>
      <c r="N198"/>
      <c r="O198"/>
      <c r="P198"/>
    </row>
    <row r="199" spans="1:16" x14ac:dyDescent="0.25">
      <c r="A199"/>
      <c r="B199"/>
      <c r="C199"/>
      <c r="D199"/>
      <c r="E199"/>
      <c r="F199"/>
      <c r="G199"/>
      <c r="H199"/>
      <c r="I199"/>
      <c r="J199"/>
      <c r="K199"/>
      <c r="N199"/>
      <c r="O199"/>
      <c r="P199"/>
    </row>
    <row r="200" spans="1:16" x14ac:dyDescent="0.25">
      <c r="A200"/>
      <c r="B200"/>
      <c r="C200"/>
      <c r="D200"/>
      <c r="E200"/>
      <c r="F200"/>
      <c r="G200"/>
      <c r="H200"/>
      <c r="I200"/>
      <c r="J200"/>
      <c r="K200"/>
      <c r="N200"/>
      <c r="O200"/>
      <c r="P200"/>
    </row>
    <row r="201" spans="1:16" x14ac:dyDescent="0.25">
      <c r="A201"/>
      <c r="B201"/>
      <c r="C201"/>
      <c r="D201"/>
      <c r="E201"/>
      <c r="F201"/>
      <c r="G201"/>
      <c r="H201"/>
      <c r="I201"/>
      <c r="J201"/>
      <c r="K201"/>
      <c r="N201"/>
      <c r="O201"/>
      <c r="P201"/>
    </row>
    <row r="202" spans="1:16" x14ac:dyDescent="0.25">
      <c r="A202"/>
      <c r="B202"/>
      <c r="C202"/>
      <c r="D202"/>
      <c r="E202"/>
      <c r="F202"/>
      <c r="G202"/>
      <c r="H202"/>
      <c r="I202"/>
      <c r="J202"/>
      <c r="K202"/>
      <c r="N202"/>
      <c r="O202"/>
      <c r="P202"/>
    </row>
    <row r="203" spans="1:16" x14ac:dyDescent="0.25">
      <c r="A203"/>
      <c r="B203"/>
      <c r="C203"/>
      <c r="D203"/>
      <c r="E203"/>
      <c r="F203"/>
      <c r="G203"/>
      <c r="H203"/>
      <c r="I203"/>
      <c r="J203"/>
      <c r="K203"/>
      <c r="N203"/>
      <c r="O203"/>
      <c r="P203"/>
    </row>
    <row r="204" spans="1:16" x14ac:dyDescent="0.25">
      <c r="A204"/>
      <c r="B204"/>
      <c r="C204"/>
      <c r="D204"/>
      <c r="E204"/>
      <c r="F204"/>
      <c r="G204"/>
      <c r="H204"/>
      <c r="I204"/>
      <c r="J204"/>
      <c r="K204"/>
      <c r="N204"/>
      <c r="O204"/>
      <c r="P204"/>
    </row>
    <row r="205" spans="1:16" x14ac:dyDescent="0.25">
      <c r="A205"/>
      <c r="B205"/>
      <c r="C205"/>
      <c r="D205"/>
      <c r="E205"/>
      <c r="F205"/>
      <c r="G205"/>
      <c r="H205"/>
      <c r="I205"/>
      <c r="J205"/>
      <c r="K205"/>
      <c r="N205"/>
      <c r="O205"/>
      <c r="P205"/>
    </row>
    <row r="206" spans="1:16" x14ac:dyDescent="0.25">
      <c r="A206"/>
      <c r="B206"/>
      <c r="C206"/>
      <c r="D206"/>
      <c r="E206"/>
      <c r="F206"/>
      <c r="G206"/>
      <c r="H206"/>
      <c r="I206"/>
      <c r="J206"/>
      <c r="K206"/>
      <c r="N206"/>
      <c r="O206"/>
      <c r="P206"/>
    </row>
    <row r="207" spans="1:16" x14ac:dyDescent="0.25">
      <c r="A207"/>
      <c r="B207"/>
      <c r="C207"/>
      <c r="D207"/>
      <c r="E207"/>
      <c r="F207"/>
      <c r="G207"/>
      <c r="H207"/>
      <c r="I207"/>
      <c r="J207"/>
      <c r="K207"/>
      <c r="N207"/>
      <c r="O207"/>
      <c r="P207"/>
    </row>
    <row r="208" spans="1:16" x14ac:dyDescent="0.25">
      <c r="A208"/>
      <c r="B208"/>
      <c r="C208"/>
      <c r="D208"/>
      <c r="E208"/>
      <c r="F208"/>
      <c r="G208"/>
      <c r="H208"/>
      <c r="I208"/>
      <c r="J208"/>
      <c r="K208"/>
      <c r="N208"/>
      <c r="O208"/>
      <c r="P208"/>
    </row>
    <row r="209" spans="1:16" x14ac:dyDescent="0.25">
      <c r="A209"/>
      <c r="B209"/>
      <c r="C209"/>
      <c r="D209"/>
      <c r="E209"/>
      <c r="F209"/>
      <c r="G209"/>
      <c r="H209"/>
      <c r="I209"/>
      <c r="J209"/>
      <c r="K209"/>
      <c r="N209"/>
      <c r="O209"/>
      <c r="P209"/>
    </row>
    <row r="210" spans="1:16" x14ac:dyDescent="0.25">
      <c r="A210"/>
      <c r="B210"/>
      <c r="C210"/>
      <c r="D210"/>
      <c r="E210"/>
      <c r="F210"/>
      <c r="G210"/>
      <c r="H210"/>
      <c r="I210"/>
      <c r="J210"/>
      <c r="K210"/>
      <c r="N210"/>
      <c r="O210"/>
      <c r="P210"/>
    </row>
    <row r="211" spans="1:16" x14ac:dyDescent="0.25">
      <c r="A211"/>
      <c r="B211"/>
      <c r="C211"/>
      <c r="D211"/>
      <c r="E211"/>
      <c r="F211"/>
      <c r="G211"/>
      <c r="H211"/>
      <c r="I211"/>
      <c r="J211"/>
      <c r="K211"/>
      <c r="N211"/>
      <c r="O211"/>
      <c r="P211"/>
    </row>
    <row r="212" spans="1:16" x14ac:dyDescent="0.25">
      <c r="A212"/>
      <c r="B212"/>
      <c r="C212"/>
      <c r="D212"/>
      <c r="E212"/>
      <c r="F212"/>
      <c r="G212"/>
      <c r="H212"/>
      <c r="I212"/>
      <c r="J212"/>
      <c r="K212"/>
      <c r="N212"/>
      <c r="O212"/>
      <c r="P212"/>
    </row>
    <row r="213" spans="1:16" x14ac:dyDescent="0.25">
      <c r="A213"/>
      <c r="B213"/>
      <c r="C213"/>
      <c r="D213"/>
      <c r="E213"/>
      <c r="F213"/>
      <c r="G213"/>
      <c r="H213"/>
      <c r="I213"/>
      <c r="J213"/>
      <c r="K213"/>
      <c r="N213"/>
      <c r="O213"/>
      <c r="P213"/>
    </row>
    <row r="214" spans="1:16" x14ac:dyDescent="0.25">
      <c r="A214"/>
      <c r="B214"/>
      <c r="C214"/>
      <c r="D214"/>
      <c r="E214"/>
      <c r="F214"/>
      <c r="G214"/>
      <c r="H214"/>
      <c r="I214"/>
      <c r="J214"/>
      <c r="K214"/>
      <c r="N214"/>
      <c r="O214"/>
      <c r="P214"/>
    </row>
    <row r="215" spans="1:16" x14ac:dyDescent="0.25">
      <c r="A215"/>
      <c r="B215"/>
      <c r="C215"/>
      <c r="D215"/>
      <c r="E215"/>
      <c r="F215"/>
      <c r="G215"/>
      <c r="H215"/>
      <c r="I215"/>
      <c r="J215"/>
      <c r="K215"/>
      <c r="N215"/>
      <c r="O215"/>
      <c r="P215"/>
    </row>
    <row r="216" spans="1:16" x14ac:dyDescent="0.25">
      <c r="A216"/>
      <c r="B216"/>
      <c r="C216"/>
      <c r="D216"/>
      <c r="E216"/>
      <c r="F216"/>
      <c r="G216"/>
      <c r="H216"/>
      <c r="I216"/>
      <c r="J216"/>
      <c r="K216"/>
      <c r="N216"/>
      <c r="O216"/>
      <c r="P216"/>
    </row>
    <row r="217" spans="1:16" x14ac:dyDescent="0.25">
      <c r="A217"/>
      <c r="B217"/>
      <c r="C217"/>
      <c r="D217"/>
      <c r="E217"/>
      <c r="F217"/>
      <c r="G217"/>
      <c r="H217"/>
      <c r="I217"/>
      <c r="J217"/>
      <c r="K217"/>
      <c r="N217"/>
      <c r="O217"/>
      <c r="P217"/>
    </row>
    <row r="218" spans="1:16" x14ac:dyDescent="0.25">
      <c r="A218"/>
      <c r="B218"/>
      <c r="C218"/>
      <c r="D218"/>
      <c r="E218"/>
      <c r="F218"/>
      <c r="G218"/>
      <c r="H218"/>
      <c r="I218"/>
      <c r="J218"/>
      <c r="K218"/>
      <c r="N218"/>
      <c r="O218"/>
      <c r="P218"/>
    </row>
    <row r="219" spans="1:16" x14ac:dyDescent="0.25">
      <c r="A219"/>
      <c r="B219"/>
      <c r="C219"/>
      <c r="D219"/>
      <c r="E219"/>
      <c r="F219"/>
      <c r="G219"/>
      <c r="H219"/>
      <c r="I219"/>
      <c r="J219"/>
      <c r="K219"/>
      <c r="N219"/>
      <c r="O219"/>
      <c r="P219"/>
    </row>
    <row r="220" spans="1:16" x14ac:dyDescent="0.25">
      <c r="A220"/>
      <c r="B220"/>
      <c r="C220"/>
      <c r="D220"/>
      <c r="E220"/>
      <c r="F220"/>
      <c r="G220"/>
      <c r="H220"/>
      <c r="I220"/>
      <c r="J220"/>
      <c r="K220"/>
      <c r="N220"/>
      <c r="O220"/>
      <c r="P220"/>
    </row>
    <row r="221" spans="1:16" x14ac:dyDescent="0.25">
      <c r="A221"/>
      <c r="B221"/>
      <c r="C221"/>
      <c r="D221"/>
      <c r="E221"/>
      <c r="F221"/>
      <c r="G221"/>
      <c r="H221"/>
      <c r="I221"/>
      <c r="J221"/>
      <c r="K221"/>
      <c r="N221"/>
      <c r="O221"/>
      <c r="P221"/>
    </row>
    <row r="222" spans="1:16" x14ac:dyDescent="0.25">
      <c r="A222"/>
      <c r="B222"/>
      <c r="C222"/>
      <c r="D222"/>
      <c r="E222"/>
      <c r="F222"/>
      <c r="G222"/>
      <c r="H222"/>
      <c r="I222"/>
      <c r="J222"/>
      <c r="K222"/>
      <c r="N222"/>
      <c r="O222"/>
      <c r="P222"/>
    </row>
    <row r="223" spans="1:16" x14ac:dyDescent="0.25">
      <c r="A223"/>
      <c r="B223"/>
      <c r="C223"/>
      <c r="D223"/>
      <c r="E223"/>
      <c r="F223"/>
      <c r="G223"/>
      <c r="H223"/>
      <c r="I223"/>
      <c r="J223"/>
      <c r="K223"/>
      <c r="N223"/>
      <c r="O223"/>
      <c r="P223"/>
    </row>
    <row r="224" spans="1:16" x14ac:dyDescent="0.25">
      <c r="A224"/>
      <c r="B224"/>
      <c r="C224"/>
      <c r="D224"/>
      <c r="E224"/>
      <c r="F224"/>
      <c r="G224"/>
      <c r="H224"/>
      <c r="I224"/>
      <c r="J224"/>
      <c r="K224"/>
      <c r="N224"/>
      <c r="O224"/>
      <c r="P224"/>
    </row>
    <row r="225" spans="1:16" x14ac:dyDescent="0.25">
      <c r="A225"/>
      <c r="B225"/>
      <c r="C225"/>
      <c r="D225"/>
      <c r="E225"/>
      <c r="F225"/>
      <c r="G225"/>
      <c r="H225"/>
      <c r="I225"/>
      <c r="J225"/>
      <c r="K225"/>
      <c r="N225"/>
      <c r="O225"/>
      <c r="P225"/>
    </row>
    <row r="226" spans="1:16" x14ac:dyDescent="0.25">
      <c r="A226"/>
      <c r="B226"/>
      <c r="C226"/>
      <c r="D226"/>
      <c r="E226"/>
      <c r="F226"/>
      <c r="G226"/>
      <c r="H226"/>
      <c r="I226"/>
      <c r="J226"/>
      <c r="K226"/>
      <c r="N226"/>
      <c r="O226"/>
      <c r="P226"/>
    </row>
    <row r="227" spans="1:16" x14ac:dyDescent="0.25">
      <c r="A227"/>
      <c r="B227"/>
      <c r="C227"/>
      <c r="D227"/>
      <c r="E227"/>
      <c r="F227"/>
      <c r="G227"/>
      <c r="H227"/>
      <c r="I227"/>
      <c r="J227"/>
      <c r="K227"/>
      <c r="N227"/>
      <c r="O227"/>
      <c r="P227"/>
    </row>
    <row r="228" spans="1:16" x14ac:dyDescent="0.25">
      <c r="A228"/>
      <c r="B228"/>
      <c r="C228"/>
      <c r="D228"/>
      <c r="E228"/>
      <c r="F228"/>
      <c r="G228"/>
      <c r="H228"/>
      <c r="I228"/>
      <c r="J228"/>
      <c r="K228"/>
      <c r="N228"/>
      <c r="O228"/>
      <c r="P228"/>
    </row>
    <row r="229" spans="1:16" x14ac:dyDescent="0.25">
      <c r="A229"/>
      <c r="B229"/>
      <c r="C229"/>
      <c r="D229"/>
      <c r="E229"/>
      <c r="F229"/>
      <c r="G229"/>
      <c r="H229"/>
      <c r="I229"/>
      <c r="J229"/>
      <c r="K229"/>
      <c r="N229"/>
      <c r="O229"/>
      <c r="P229"/>
    </row>
    <row r="230" spans="1:16" x14ac:dyDescent="0.25">
      <c r="A230"/>
      <c r="B230"/>
      <c r="C230"/>
      <c r="D230"/>
      <c r="E230"/>
      <c r="F230"/>
      <c r="G230"/>
      <c r="H230"/>
      <c r="I230"/>
      <c r="J230"/>
      <c r="K230"/>
      <c r="N230"/>
      <c r="O230"/>
      <c r="P230"/>
    </row>
    <row r="231" spans="1:16" x14ac:dyDescent="0.25">
      <c r="A231"/>
      <c r="B231"/>
      <c r="C231"/>
      <c r="D231"/>
      <c r="E231"/>
      <c r="F231"/>
      <c r="G231"/>
      <c r="H231"/>
      <c r="I231"/>
      <c r="J231"/>
      <c r="K231"/>
      <c r="N231"/>
      <c r="O231"/>
      <c r="P231"/>
    </row>
    <row r="232" spans="1:16" x14ac:dyDescent="0.25">
      <c r="A232"/>
      <c r="B232"/>
      <c r="C232"/>
      <c r="D232"/>
      <c r="E232"/>
      <c r="F232"/>
      <c r="G232"/>
      <c r="H232"/>
      <c r="I232"/>
      <c r="J232"/>
      <c r="K232"/>
      <c r="N232"/>
      <c r="O232"/>
      <c r="P232"/>
    </row>
    <row r="233" spans="1:16" x14ac:dyDescent="0.25">
      <c r="A233"/>
      <c r="B233"/>
      <c r="C233"/>
      <c r="D233"/>
      <c r="E233"/>
      <c r="F233"/>
      <c r="G233"/>
      <c r="H233"/>
      <c r="I233"/>
      <c r="J233"/>
      <c r="K233"/>
      <c r="N233"/>
      <c r="O233"/>
      <c r="P233"/>
    </row>
    <row r="234" spans="1:16" x14ac:dyDescent="0.25">
      <c r="A234"/>
      <c r="B234"/>
      <c r="C234"/>
      <c r="D234"/>
      <c r="E234"/>
      <c r="F234"/>
      <c r="G234"/>
      <c r="H234"/>
      <c r="I234"/>
      <c r="J234"/>
      <c r="K234"/>
      <c r="N234"/>
      <c r="O234"/>
      <c r="P234"/>
    </row>
    <row r="235" spans="1:16" x14ac:dyDescent="0.25">
      <c r="A235"/>
      <c r="B235"/>
      <c r="C235"/>
      <c r="D235"/>
      <c r="E235"/>
      <c r="F235"/>
      <c r="G235"/>
      <c r="H235"/>
      <c r="I235"/>
      <c r="J235"/>
      <c r="K235"/>
      <c r="N235"/>
      <c r="O235"/>
      <c r="P235"/>
    </row>
    <row r="236" spans="1:16" x14ac:dyDescent="0.25">
      <c r="A236"/>
      <c r="B236"/>
      <c r="C236"/>
      <c r="D236"/>
      <c r="E236"/>
      <c r="F236"/>
      <c r="G236"/>
      <c r="H236"/>
      <c r="I236"/>
      <c r="J236"/>
      <c r="K236"/>
      <c r="N236"/>
      <c r="O236"/>
      <c r="P236"/>
    </row>
    <row r="237" spans="1:16" x14ac:dyDescent="0.25">
      <c r="A237"/>
      <c r="B237"/>
      <c r="C237"/>
      <c r="D237"/>
      <c r="E237"/>
      <c r="F237"/>
      <c r="G237"/>
      <c r="H237"/>
      <c r="I237"/>
      <c r="J237"/>
      <c r="K237"/>
      <c r="N237"/>
      <c r="O237"/>
      <c r="P237"/>
    </row>
    <row r="238" spans="1:16" x14ac:dyDescent="0.25">
      <c r="A238"/>
      <c r="B238"/>
      <c r="C238"/>
      <c r="D238"/>
      <c r="E238"/>
      <c r="F238"/>
      <c r="G238"/>
      <c r="H238"/>
      <c r="I238"/>
      <c r="J238"/>
      <c r="K238"/>
      <c r="N238"/>
      <c r="O238"/>
      <c r="P238"/>
    </row>
    <row r="239" spans="1:16" x14ac:dyDescent="0.25">
      <c r="A239"/>
      <c r="B239"/>
      <c r="C239"/>
      <c r="D239"/>
      <c r="E239"/>
      <c r="F239"/>
      <c r="G239"/>
      <c r="H239"/>
      <c r="I239"/>
      <c r="J239"/>
      <c r="K239"/>
      <c r="N239"/>
      <c r="O239"/>
      <c r="P239"/>
    </row>
    <row r="240" spans="1:16" x14ac:dyDescent="0.25">
      <c r="A240"/>
      <c r="B240"/>
      <c r="C240"/>
      <c r="D240"/>
      <c r="E240"/>
      <c r="F240"/>
      <c r="G240"/>
      <c r="H240"/>
      <c r="I240"/>
      <c r="J240"/>
      <c r="K240"/>
      <c r="N240"/>
      <c r="O240"/>
      <c r="P240"/>
    </row>
    <row r="241" spans="1:16" x14ac:dyDescent="0.25">
      <c r="A241"/>
      <c r="B241"/>
      <c r="C241"/>
      <c r="D241"/>
      <c r="E241"/>
      <c r="F241"/>
      <c r="G241"/>
      <c r="H241"/>
      <c r="I241"/>
      <c r="J241"/>
      <c r="K241"/>
      <c r="N241"/>
      <c r="O241"/>
      <c r="P241"/>
    </row>
    <row r="242" spans="1:16" x14ac:dyDescent="0.25">
      <c r="A242"/>
      <c r="B242"/>
      <c r="C242"/>
      <c r="D242"/>
      <c r="E242"/>
      <c r="F242"/>
      <c r="G242"/>
      <c r="H242"/>
      <c r="I242"/>
      <c r="J242"/>
      <c r="K242"/>
      <c r="N242"/>
      <c r="O242"/>
      <c r="P242"/>
    </row>
    <row r="243" spans="1:16" x14ac:dyDescent="0.25">
      <c r="A243"/>
      <c r="B243"/>
      <c r="C243"/>
      <c r="D243"/>
      <c r="E243"/>
      <c r="F243"/>
      <c r="G243"/>
      <c r="H243"/>
      <c r="I243"/>
      <c r="J243"/>
      <c r="K243"/>
      <c r="N243"/>
      <c r="O243"/>
      <c r="P243"/>
    </row>
    <row r="244" spans="1:16" x14ac:dyDescent="0.25">
      <c r="A244"/>
      <c r="B244"/>
      <c r="C244"/>
      <c r="D244"/>
      <c r="E244"/>
      <c r="F244"/>
      <c r="G244"/>
      <c r="H244"/>
      <c r="I244"/>
      <c r="J244"/>
      <c r="K244"/>
      <c r="N244"/>
      <c r="O244"/>
      <c r="P244"/>
    </row>
    <row r="245" spans="1:16" x14ac:dyDescent="0.25">
      <c r="A245"/>
      <c r="B245"/>
      <c r="C245"/>
      <c r="D245"/>
      <c r="E245"/>
      <c r="F245"/>
      <c r="G245"/>
      <c r="H245"/>
      <c r="I245"/>
      <c r="J245"/>
      <c r="K245"/>
      <c r="N245"/>
      <c r="O245"/>
      <c r="P245"/>
    </row>
    <row r="246" spans="1:16" x14ac:dyDescent="0.25">
      <c r="A246"/>
      <c r="B246"/>
      <c r="C246"/>
      <c r="D246"/>
      <c r="E246"/>
      <c r="F246"/>
      <c r="G246"/>
      <c r="H246"/>
      <c r="I246"/>
      <c r="J246"/>
      <c r="K246"/>
      <c r="N246"/>
      <c r="O246"/>
      <c r="P246"/>
    </row>
    <row r="247" spans="1:16" x14ac:dyDescent="0.25">
      <c r="A247"/>
      <c r="B247"/>
      <c r="C247"/>
      <c r="D247"/>
      <c r="E247"/>
      <c r="F247"/>
      <c r="G247"/>
      <c r="H247"/>
      <c r="I247"/>
      <c r="J247"/>
      <c r="K247"/>
      <c r="N247"/>
      <c r="O247"/>
      <c r="P247"/>
    </row>
    <row r="248" spans="1:16" x14ac:dyDescent="0.25">
      <c r="A248"/>
      <c r="B248"/>
      <c r="C248"/>
      <c r="D248"/>
      <c r="E248"/>
      <c r="F248"/>
      <c r="G248"/>
      <c r="H248"/>
      <c r="I248"/>
      <c r="J248"/>
      <c r="K248"/>
      <c r="N248"/>
      <c r="O248"/>
      <c r="P248"/>
    </row>
    <row r="249" spans="1:16" x14ac:dyDescent="0.25">
      <c r="A249"/>
      <c r="B249"/>
      <c r="C249"/>
      <c r="D249"/>
      <c r="E249"/>
      <c r="F249"/>
      <c r="G249"/>
      <c r="H249"/>
      <c r="I249"/>
      <c r="J249"/>
      <c r="K249"/>
      <c r="N249"/>
      <c r="O249"/>
      <c r="P249"/>
    </row>
    <row r="250" spans="1:16" x14ac:dyDescent="0.25">
      <c r="A250"/>
      <c r="B250"/>
      <c r="C250"/>
      <c r="D250"/>
      <c r="E250"/>
      <c r="F250"/>
      <c r="G250"/>
      <c r="H250"/>
      <c r="I250"/>
      <c r="J250"/>
      <c r="K250"/>
      <c r="N250"/>
      <c r="O250"/>
      <c r="P250"/>
    </row>
    <row r="251" spans="1:16" x14ac:dyDescent="0.25">
      <c r="A251"/>
      <c r="B251"/>
      <c r="C251"/>
      <c r="D251"/>
      <c r="E251"/>
      <c r="F251"/>
      <c r="G251"/>
      <c r="H251"/>
      <c r="I251"/>
      <c r="J251"/>
      <c r="K251"/>
      <c r="N251"/>
      <c r="O251"/>
      <c r="P251"/>
    </row>
    <row r="252" spans="1:16" x14ac:dyDescent="0.25">
      <c r="A252"/>
      <c r="B252"/>
      <c r="C252"/>
      <c r="D252"/>
      <c r="E252"/>
      <c r="F252"/>
      <c r="G252"/>
      <c r="H252"/>
      <c r="I252"/>
      <c r="J252"/>
      <c r="K252"/>
      <c r="N252"/>
      <c r="O252"/>
      <c r="P252"/>
    </row>
    <row r="253" spans="1:16" x14ac:dyDescent="0.25">
      <c r="A253"/>
      <c r="B253"/>
      <c r="C253"/>
      <c r="D253"/>
      <c r="E253"/>
      <c r="F253"/>
      <c r="G253"/>
      <c r="H253"/>
      <c r="I253"/>
      <c r="J253"/>
      <c r="K253"/>
      <c r="N253"/>
      <c r="O253"/>
      <c r="P253"/>
    </row>
    <row r="254" spans="1:16" x14ac:dyDescent="0.25">
      <c r="A254"/>
      <c r="B254"/>
      <c r="C254"/>
      <c r="D254"/>
      <c r="E254"/>
      <c r="F254"/>
      <c r="G254"/>
      <c r="H254"/>
      <c r="I254"/>
      <c r="J254"/>
      <c r="K254"/>
      <c r="N254"/>
      <c r="O254"/>
      <c r="P254"/>
    </row>
    <row r="255" spans="1:16" x14ac:dyDescent="0.25">
      <c r="A255"/>
      <c r="B255"/>
      <c r="C255"/>
      <c r="D255"/>
      <c r="E255"/>
      <c r="F255"/>
      <c r="G255"/>
      <c r="H255"/>
      <c r="I255"/>
      <c r="J255"/>
      <c r="K255"/>
      <c r="N255"/>
      <c r="O255"/>
      <c r="P255"/>
    </row>
    <row r="256" spans="1:16" x14ac:dyDescent="0.25">
      <c r="A256"/>
      <c r="B256"/>
      <c r="C256"/>
      <c r="D256"/>
      <c r="E256"/>
      <c r="F256"/>
      <c r="G256"/>
      <c r="H256"/>
      <c r="I256"/>
      <c r="J256"/>
      <c r="K256"/>
      <c r="N256"/>
      <c r="O256"/>
      <c r="P256"/>
    </row>
    <row r="257" spans="1:16" x14ac:dyDescent="0.25">
      <c r="A257"/>
      <c r="B257"/>
      <c r="C257"/>
      <c r="D257"/>
      <c r="E257"/>
      <c r="F257"/>
      <c r="G257"/>
      <c r="H257"/>
      <c r="I257"/>
      <c r="J257"/>
      <c r="K257"/>
      <c r="N257"/>
      <c r="O257"/>
      <c r="P257"/>
    </row>
    <row r="258" spans="1:16" x14ac:dyDescent="0.25">
      <c r="A258"/>
      <c r="B258"/>
      <c r="C258"/>
      <c r="D258"/>
      <c r="E258"/>
      <c r="F258"/>
      <c r="G258"/>
      <c r="H258"/>
      <c r="I258"/>
      <c r="J258"/>
      <c r="K258"/>
      <c r="N258"/>
      <c r="O258"/>
      <c r="P258"/>
    </row>
    <row r="259" spans="1:16" x14ac:dyDescent="0.25">
      <c r="A259"/>
      <c r="B259"/>
      <c r="C259"/>
      <c r="D259"/>
      <c r="E259"/>
      <c r="F259"/>
      <c r="G259"/>
      <c r="H259"/>
      <c r="I259"/>
      <c r="J259"/>
      <c r="K259"/>
      <c r="N259"/>
      <c r="O259"/>
      <c r="P259"/>
    </row>
    <row r="260" spans="1:16" x14ac:dyDescent="0.25">
      <c r="A260"/>
      <c r="B260"/>
      <c r="C260"/>
      <c r="D260"/>
      <c r="E260"/>
      <c r="F260"/>
      <c r="G260"/>
      <c r="H260"/>
      <c r="I260"/>
      <c r="J260"/>
      <c r="K260"/>
      <c r="N260"/>
      <c r="O260"/>
      <c r="P260"/>
    </row>
    <row r="261" spans="1:16" x14ac:dyDescent="0.25">
      <c r="A261"/>
      <c r="B261"/>
      <c r="C261"/>
      <c r="D261"/>
      <c r="E261"/>
      <c r="F261"/>
      <c r="G261"/>
      <c r="H261"/>
      <c r="I261"/>
      <c r="J261"/>
      <c r="K261"/>
      <c r="N261"/>
      <c r="O261"/>
      <c r="P261"/>
    </row>
    <row r="262" spans="1:16" x14ac:dyDescent="0.25">
      <c r="A262"/>
      <c r="B262"/>
      <c r="C262"/>
      <c r="D262"/>
      <c r="E262"/>
      <c r="F262"/>
      <c r="G262"/>
      <c r="H262"/>
      <c r="I262"/>
      <c r="J262"/>
      <c r="K262"/>
      <c r="N262"/>
      <c r="O262"/>
      <c r="P262"/>
    </row>
    <row r="263" spans="1:16" x14ac:dyDescent="0.25">
      <c r="A263"/>
      <c r="B263"/>
      <c r="C263"/>
      <c r="D263"/>
      <c r="E263"/>
      <c r="F263"/>
      <c r="G263"/>
      <c r="H263"/>
      <c r="I263"/>
      <c r="J263"/>
      <c r="K263"/>
      <c r="N263"/>
      <c r="O263"/>
      <c r="P263"/>
    </row>
    <row r="264" spans="1:16" x14ac:dyDescent="0.25">
      <c r="A264"/>
      <c r="B264"/>
      <c r="C264"/>
      <c r="D264"/>
      <c r="E264"/>
      <c r="F264"/>
      <c r="G264"/>
      <c r="H264"/>
      <c r="I264"/>
      <c r="J264"/>
      <c r="K264"/>
      <c r="N264"/>
      <c r="O264"/>
      <c r="P264"/>
    </row>
    <row r="265" spans="1:16" x14ac:dyDescent="0.25">
      <c r="A265"/>
      <c r="B265"/>
      <c r="C265"/>
      <c r="D265"/>
      <c r="E265"/>
      <c r="F265"/>
      <c r="G265"/>
      <c r="H265"/>
      <c r="I265"/>
      <c r="J265"/>
      <c r="K265"/>
      <c r="N265"/>
      <c r="O265"/>
      <c r="P265"/>
    </row>
    <row r="266" spans="1:16" x14ac:dyDescent="0.25">
      <c r="A266"/>
      <c r="B266"/>
      <c r="C266"/>
      <c r="D266"/>
      <c r="E266"/>
      <c r="F266"/>
      <c r="G266"/>
      <c r="H266"/>
      <c r="I266"/>
      <c r="J266"/>
      <c r="K266"/>
      <c r="N266"/>
      <c r="O266"/>
      <c r="P266"/>
    </row>
    <row r="267" spans="1:16" x14ac:dyDescent="0.25">
      <c r="A267"/>
      <c r="B267"/>
      <c r="C267"/>
      <c r="D267"/>
      <c r="E267"/>
      <c r="F267"/>
      <c r="G267"/>
      <c r="H267"/>
      <c r="I267"/>
      <c r="J267"/>
      <c r="K267"/>
      <c r="N267"/>
      <c r="O267"/>
      <c r="P267"/>
    </row>
    <row r="268" spans="1:16" x14ac:dyDescent="0.25">
      <c r="A268"/>
      <c r="B268"/>
      <c r="C268"/>
      <c r="D268"/>
      <c r="E268"/>
      <c r="F268"/>
      <c r="G268"/>
      <c r="H268"/>
      <c r="I268"/>
      <c r="J268"/>
      <c r="K268"/>
      <c r="N268"/>
      <c r="O268"/>
      <c r="P268"/>
    </row>
    <row r="269" spans="1:16" x14ac:dyDescent="0.25">
      <c r="A269"/>
      <c r="B269"/>
      <c r="C269"/>
      <c r="D269"/>
      <c r="E269"/>
      <c r="F269"/>
      <c r="G269"/>
      <c r="H269"/>
      <c r="I269"/>
      <c r="J269"/>
      <c r="K269"/>
      <c r="N269"/>
      <c r="O269"/>
      <c r="P269"/>
    </row>
    <row r="270" spans="1:16" x14ac:dyDescent="0.25">
      <c r="A270"/>
      <c r="B270"/>
      <c r="C270"/>
      <c r="D270"/>
      <c r="E270"/>
      <c r="F270"/>
      <c r="G270"/>
      <c r="H270"/>
      <c r="I270"/>
      <c r="J270"/>
      <c r="K270"/>
      <c r="N270"/>
      <c r="O270"/>
      <c r="P270"/>
    </row>
    <row r="271" spans="1:16" x14ac:dyDescent="0.25">
      <c r="A271"/>
      <c r="B271"/>
      <c r="C271"/>
      <c r="D271"/>
      <c r="E271"/>
      <c r="F271"/>
      <c r="G271"/>
      <c r="H271"/>
      <c r="I271"/>
      <c r="J271"/>
      <c r="K271"/>
      <c r="N271"/>
      <c r="O271"/>
      <c r="P271"/>
    </row>
    <row r="272" spans="1:16" x14ac:dyDescent="0.25">
      <c r="A272"/>
      <c r="B272"/>
      <c r="C272"/>
      <c r="D272"/>
      <c r="E272"/>
      <c r="F272"/>
      <c r="G272"/>
      <c r="H272"/>
      <c r="I272"/>
      <c r="J272"/>
      <c r="K272"/>
      <c r="N272"/>
      <c r="O272"/>
      <c r="P272"/>
    </row>
    <row r="273" spans="1:16" x14ac:dyDescent="0.25">
      <c r="A273"/>
      <c r="B273"/>
      <c r="C273"/>
      <c r="D273"/>
      <c r="E273"/>
      <c r="F273"/>
      <c r="G273"/>
      <c r="H273"/>
      <c r="I273"/>
      <c r="J273"/>
      <c r="K273"/>
      <c r="N273"/>
      <c r="O273"/>
      <c r="P273"/>
    </row>
    <row r="274" spans="1:16" x14ac:dyDescent="0.25">
      <c r="A274"/>
      <c r="B274"/>
      <c r="C274"/>
      <c r="D274"/>
      <c r="E274"/>
      <c r="F274"/>
      <c r="G274"/>
      <c r="H274"/>
      <c r="I274"/>
      <c r="J274"/>
      <c r="K274"/>
      <c r="N274"/>
      <c r="O274"/>
      <c r="P274"/>
    </row>
    <row r="275" spans="1:16" x14ac:dyDescent="0.25">
      <c r="A275"/>
      <c r="B275"/>
      <c r="C275"/>
      <c r="D275"/>
      <c r="E275"/>
      <c r="F275"/>
      <c r="G275"/>
      <c r="H275"/>
      <c r="I275"/>
      <c r="J275"/>
      <c r="K275"/>
      <c r="N275"/>
      <c r="O275"/>
      <c r="P275"/>
    </row>
    <row r="276" spans="1:16" x14ac:dyDescent="0.25">
      <c r="A276"/>
      <c r="B276"/>
      <c r="C276"/>
      <c r="D276"/>
      <c r="E276"/>
      <c r="F276"/>
      <c r="G276"/>
      <c r="H276"/>
      <c r="I276"/>
      <c r="J276"/>
      <c r="K276"/>
      <c r="N276"/>
      <c r="O276"/>
      <c r="P276"/>
    </row>
    <row r="277" spans="1:16" x14ac:dyDescent="0.25">
      <c r="A277"/>
      <c r="B277"/>
      <c r="C277"/>
      <c r="D277"/>
      <c r="E277"/>
      <c r="F277"/>
      <c r="G277"/>
      <c r="H277"/>
      <c r="I277"/>
      <c r="J277"/>
      <c r="K277"/>
      <c r="N277"/>
      <c r="O277"/>
      <c r="P277"/>
    </row>
    <row r="278" spans="1:16" x14ac:dyDescent="0.25">
      <c r="A278"/>
      <c r="B278"/>
      <c r="C278"/>
      <c r="D278"/>
      <c r="E278"/>
      <c r="F278"/>
      <c r="G278"/>
      <c r="H278"/>
      <c r="I278"/>
      <c r="J278"/>
      <c r="K278"/>
      <c r="N278"/>
      <c r="O278"/>
      <c r="P278"/>
    </row>
    <row r="279" spans="1:16" x14ac:dyDescent="0.25">
      <c r="A279"/>
      <c r="B279"/>
      <c r="C279"/>
      <c r="D279"/>
      <c r="E279"/>
      <c r="F279"/>
      <c r="G279"/>
      <c r="H279"/>
      <c r="I279"/>
      <c r="J279"/>
      <c r="K279"/>
      <c r="N279"/>
      <c r="O279"/>
      <c r="P279"/>
    </row>
    <row r="280" spans="1:16" x14ac:dyDescent="0.25">
      <c r="A280"/>
      <c r="B280"/>
      <c r="C280"/>
      <c r="D280"/>
      <c r="E280"/>
      <c r="F280"/>
      <c r="G280"/>
      <c r="H280"/>
      <c r="I280"/>
      <c r="J280"/>
      <c r="K280"/>
      <c r="N280"/>
      <c r="O280"/>
      <c r="P280"/>
    </row>
    <row r="281" spans="1:16" x14ac:dyDescent="0.25">
      <c r="A281"/>
      <c r="B281"/>
      <c r="C281"/>
      <c r="D281"/>
      <c r="E281"/>
      <c r="F281"/>
      <c r="G281"/>
      <c r="H281"/>
      <c r="I281"/>
      <c r="J281"/>
      <c r="K281"/>
      <c r="N281"/>
      <c r="O281"/>
      <c r="P281"/>
    </row>
    <row r="282" spans="1:16" x14ac:dyDescent="0.25">
      <c r="A282"/>
      <c r="B282"/>
      <c r="C282"/>
      <c r="D282"/>
      <c r="E282"/>
      <c r="F282"/>
      <c r="G282"/>
      <c r="H282"/>
      <c r="I282"/>
      <c r="J282"/>
      <c r="K282"/>
      <c r="N282"/>
      <c r="O282"/>
      <c r="P282"/>
    </row>
    <row r="283" spans="1:16" x14ac:dyDescent="0.25">
      <c r="A283"/>
      <c r="B283"/>
      <c r="C283"/>
      <c r="D283"/>
      <c r="E283"/>
      <c r="F283"/>
      <c r="G283"/>
      <c r="H283"/>
      <c r="I283"/>
      <c r="J283"/>
      <c r="K283"/>
      <c r="N283"/>
      <c r="O283"/>
      <c r="P283"/>
    </row>
    <row r="284" spans="1:16" x14ac:dyDescent="0.25">
      <c r="A284"/>
      <c r="B284"/>
      <c r="C284"/>
      <c r="D284"/>
      <c r="E284"/>
      <c r="F284"/>
      <c r="G284"/>
      <c r="H284"/>
      <c r="I284"/>
      <c r="J284"/>
      <c r="K284"/>
      <c r="N284"/>
      <c r="O284"/>
      <c r="P284"/>
    </row>
    <row r="285" spans="1:16" x14ac:dyDescent="0.25">
      <c r="A285"/>
      <c r="B285"/>
      <c r="C285"/>
      <c r="D285"/>
      <c r="E285"/>
      <c r="F285"/>
      <c r="G285"/>
      <c r="H285"/>
      <c r="I285"/>
      <c r="J285"/>
      <c r="K285"/>
      <c r="N285"/>
      <c r="O285"/>
      <c r="P285"/>
    </row>
    <row r="286" spans="1:16" x14ac:dyDescent="0.25">
      <c r="A286"/>
      <c r="B286"/>
      <c r="C286"/>
      <c r="D286"/>
      <c r="E286"/>
      <c r="F286"/>
      <c r="G286"/>
      <c r="H286"/>
      <c r="I286"/>
      <c r="J286"/>
      <c r="K286"/>
      <c r="N286"/>
      <c r="O286"/>
      <c r="P286"/>
    </row>
    <row r="287" spans="1:16" x14ac:dyDescent="0.25">
      <c r="A287"/>
      <c r="B287"/>
      <c r="C287"/>
      <c r="D287"/>
      <c r="E287"/>
      <c r="F287"/>
      <c r="G287"/>
      <c r="H287"/>
      <c r="I287"/>
      <c r="J287"/>
      <c r="K287"/>
      <c r="N287"/>
      <c r="O287"/>
      <c r="P287"/>
    </row>
    <row r="288" spans="1:16" x14ac:dyDescent="0.25">
      <c r="A288"/>
      <c r="B288"/>
      <c r="C288"/>
      <c r="D288"/>
      <c r="E288"/>
      <c r="F288"/>
      <c r="G288"/>
      <c r="H288"/>
      <c r="I288"/>
      <c r="J288"/>
      <c r="K288"/>
      <c r="N288"/>
      <c r="O288"/>
      <c r="P288"/>
    </row>
    <row r="289" spans="1:16" x14ac:dyDescent="0.25">
      <c r="A289"/>
      <c r="B289"/>
      <c r="C289"/>
      <c r="D289"/>
      <c r="E289"/>
      <c r="F289"/>
      <c r="G289"/>
      <c r="H289"/>
      <c r="I289"/>
      <c r="J289"/>
      <c r="K289"/>
      <c r="N289"/>
      <c r="O289"/>
      <c r="P289"/>
    </row>
    <row r="290" spans="1:16" x14ac:dyDescent="0.25">
      <c r="A290"/>
      <c r="B290"/>
      <c r="C290"/>
      <c r="D290"/>
      <c r="E290"/>
      <c r="F290"/>
      <c r="G290"/>
      <c r="H290"/>
      <c r="I290"/>
      <c r="J290"/>
      <c r="K290"/>
      <c r="N290"/>
      <c r="O290"/>
      <c r="P290"/>
    </row>
    <row r="291" spans="1:16" x14ac:dyDescent="0.25">
      <c r="A291"/>
      <c r="B291"/>
      <c r="C291"/>
      <c r="D291"/>
      <c r="E291"/>
      <c r="F291"/>
      <c r="G291"/>
      <c r="H291"/>
      <c r="I291"/>
      <c r="J291"/>
      <c r="K291"/>
      <c r="N291"/>
      <c r="O291"/>
      <c r="P291"/>
    </row>
    <row r="292" spans="1:16" x14ac:dyDescent="0.25">
      <c r="A292"/>
      <c r="B292"/>
      <c r="C292"/>
      <c r="D292"/>
      <c r="E292"/>
      <c r="F292"/>
      <c r="G292"/>
      <c r="H292"/>
      <c r="I292"/>
      <c r="J292"/>
      <c r="K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N294"/>
      <c r="O294"/>
      <c r="P294"/>
    </row>
    <row r="295" spans="1:16" x14ac:dyDescent="0.25">
      <c r="A295"/>
      <c r="B295"/>
      <c r="C295"/>
      <c r="D295"/>
      <c r="E295"/>
      <c r="F295"/>
      <c r="G295"/>
      <c r="H295"/>
      <c r="I295"/>
      <c r="J295"/>
      <c r="K295"/>
      <c r="N295"/>
      <c r="O295"/>
      <c r="P295"/>
    </row>
    <row r="296" spans="1:16" x14ac:dyDescent="0.25">
      <c r="A296"/>
      <c r="B296"/>
      <c r="C296"/>
      <c r="D296"/>
      <c r="E296"/>
      <c r="F296"/>
      <c r="G296"/>
      <c r="H296"/>
      <c r="I296"/>
      <c r="J296"/>
      <c r="K296"/>
      <c r="N296"/>
      <c r="O296"/>
      <c r="P296"/>
    </row>
    <row r="297" spans="1:16" x14ac:dyDescent="0.25">
      <c r="A297"/>
      <c r="B297"/>
      <c r="C297"/>
      <c r="D297"/>
      <c r="E297"/>
      <c r="F297"/>
      <c r="G297"/>
      <c r="H297"/>
      <c r="I297"/>
      <c r="J297"/>
      <c r="K297"/>
      <c r="N297"/>
      <c r="O297"/>
      <c r="P297"/>
    </row>
    <row r="298" spans="1:16" x14ac:dyDescent="0.25">
      <c r="A298"/>
      <c r="B298"/>
      <c r="C298"/>
      <c r="D298"/>
      <c r="E298"/>
      <c r="F298"/>
      <c r="G298"/>
      <c r="H298"/>
      <c r="I298"/>
      <c r="J298"/>
      <c r="K298"/>
      <c r="O298"/>
      <c r="P298"/>
    </row>
    <row r="299" spans="1:16" x14ac:dyDescent="0.25">
      <c r="A299"/>
      <c r="B299"/>
      <c r="C299"/>
      <c r="D299"/>
      <c r="E299"/>
      <c r="F299"/>
      <c r="G299"/>
      <c r="H299"/>
      <c r="I299"/>
      <c r="J299"/>
      <c r="K299"/>
      <c r="O299"/>
      <c r="P299"/>
    </row>
    <row r="300" spans="1:16" x14ac:dyDescent="0.25">
      <c r="A300"/>
      <c r="B300"/>
      <c r="C300"/>
      <c r="D300"/>
      <c r="E300"/>
      <c r="F300"/>
      <c r="G300"/>
      <c r="H300"/>
      <c r="I300"/>
      <c r="J300"/>
      <c r="K300"/>
      <c r="O300"/>
      <c r="P300"/>
    </row>
    <row r="301" spans="1:16" x14ac:dyDescent="0.25">
      <c r="A301"/>
      <c r="B301"/>
      <c r="C301"/>
      <c r="D301"/>
      <c r="E301"/>
      <c r="F301"/>
      <c r="G301"/>
      <c r="H301"/>
      <c r="I301"/>
      <c r="J301"/>
      <c r="K301"/>
      <c r="O301"/>
      <c r="P301"/>
    </row>
    <row r="302" spans="1:16" x14ac:dyDescent="0.25">
      <c r="A302"/>
      <c r="B302"/>
      <c r="C302"/>
      <c r="D302"/>
      <c r="E302"/>
      <c r="F302"/>
      <c r="G302"/>
      <c r="H302"/>
      <c r="I302"/>
      <c r="J302"/>
      <c r="K302"/>
      <c r="O302"/>
      <c r="P302"/>
    </row>
    <row r="303" spans="1:16" x14ac:dyDescent="0.25">
      <c r="A303"/>
      <c r="B303"/>
      <c r="C303"/>
      <c r="D303"/>
      <c r="E303"/>
      <c r="F303"/>
      <c r="G303"/>
      <c r="H303"/>
      <c r="I303"/>
      <c r="J303"/>
      <c r="K303"/>
      <c r="O303"/>
      <c r="P303"/>
    </row>
    <row r="304" spans="1:16" x14ac:dyDescent="0.25">
      <c r="A304"/>
      <c r="B304"/>
      <c r="C304"/>
      <c r="D304"/>
      <c r="E304"/>
      <c r="F304"/>
      <c r="G304"/>
      <c r="H304"/>
      <c r="I304"/>
      <c r="J304"/>
      <c r="K304"/>
      <c r="O304"/>
      <c r="P304"/>
    </row>
    <row r="305" spans="1:16" x14ac:dyDescent="0.25">
      <c r="A305"/>
      <c r="B305"/>
      <c r="C305"/>
      <c r="D305"/>
      <c r="E305"/>
      <c r="F305"/>
      <c r="G305"/>
      <c r="H305"/>
      <c r="I305"/>
      <c r="J305"/>
      <c r="K305"/>
      <c r="O305"/>
      <c r="P305"/>
    </row>
    <row r="306" spans="1:16" x14ac:dyDescent="0.25">
      <c r="A306"/>
      <c r="B306"/>
      <c r="C306"/>
      <c r="D306"/>
      <c r="E306"/>
      <c r="F306"/>
      <c r="G306"/>
      <c r="H306"/>
      <c r="I306"/>
      <c r="J306"/>
      <c r="K306"/>
      <c r="O306"/>
      <c r="P306"/>
    </row>
    <row r="307" spans="1:16" x14ac:dyDescent="0.25">
      <c r="A307"/>
      <c r="B307"/>
      <c r="C307"/>
      <c r="D307"/>
      <c r="E307"/>
      <c r="F307"/>
      <c r="G307"/>
      <c r="H307"/>
      <c r="I307"/>
      <c r="J307"/>
      <c r="K307"/>
      <c r="O307"/>
      <c r="P307"/>
    </row>
    <row r="308" spans="1:16" x14ac:dyDescent="0.25">
      <c r="A308"/>
      <c r="B308"/>
      <c r="C308"/>
      <c r="D308"/>
      <c r="E308"/>
      <c r="F308"/>
      <c r="G308"/>
      <c r="H308"/>
      <c r="I308"/>
      <c r="J308"/>
      <c r="K308"/>
      <c r="O308"/>
      <c r="P308"/>
    </row>
    <row r="309" spans="1:16" x14ac:dyDescent="0.25">
      <c r="A309"/>
      <c r="B309"/>
      <c r="C309"/>
      <c r="D309"/>
      <c r="E309"/>
      <c r="F309"/>
      <c r="G309"/>
      <c r="H309"/>
      <c r="I309"/>
      <c r="J309"/>
      <c r="K309"/>
      <c r="O309"/>
      <c r="P309"/>
    </row>
    <row r="310" spans="1:16" x14ac:dyDescent="0.25">
      <c r="A310"/>
      <c r="B310"/>
      <c r="C310"/>
      <c r="D310"/>
      <c r="E310"/>
      <c r="F310"/>
      <c r="G310"/>
      <c r="H310"/>
      <c r="I310"/>
      <c r="J310"/>
      <c r="K310"/>
      <c r="O310"/>
      <c r="P310"/>
    </row>
    <row r="311" spans="1:16" x14ac:dyDescent="0.25">
      <c r="A311"/>
      <c r="B311"/>
      <c r="C311"/>
      <c r="D311"/>
      <c r="E311"/>
      <c r="F311"/>
      <c r="G311"/>
      <c r="H311"/>
      <c r="I311"/>
      <c r="J311"/>
      <c r="K311"/>
      <c r="O311"/>
      <c r="P311"/>
    </row>
    <row r="312" spans="1:16" x14ac:dyDescent="0.25">
      <c r="A312"/>
      <c r="B312"/>
      <c r="C312"/>
      <c r="D312"/>
      <c r="E312"/>
      <c r="F312"/>
      <c r="G312"/>
      <c r="H312"/>
      <c r="I312"/>
      <c r="J312"/>
      <c r="K312"/>
      <c r="O312"/>
      <c r="P312"/>
    </row>
    <row r="313" spans="1:16" x14ac:dyDescent="0.25">
      <c r="A313"/>
      <c r="B313"/>
      <c r="C313"/>
      <c r="D313"/>
      <c r="E313"/>
      <c r="F313"/>
      <c r="G313"/>
      <c r="H313"/>
      <c r="I313"/>
      <c r="J313"/>
      <c r="K313"/>
      <c r="O313"/>
      <c r="P313"/>
    </row>
    <row r="314" spans="1:16" x14ac:dyDescent="0.25">
      <c r="A314"/>
      <c r="B314"/>
      <c r="C314"/>
      <c r="D314"/>
      <c r="E314"/>
      <c r="F314"/>
      <c r="G314"/>
      <c r="H314"/>
      <c r="I314"/>
      <c r="J314"/>
      <c r="K314"/>
      <c r="O314"/>
      <c r="P314"/>
    </row>
    <row r="315" spans="1:16" x14ac:dyDescent="0.25">
      <c r="A315"/>
      <c r="B315"/>
      <c r="C315"/>
      <c r="D315"/>
      <c r="E315"/>
      <c r="F315"/>
      <c r="G315"/>
      <c r="H315"/>
      <c r="I315"/>
      <c r="J315"/>
      <c r="K315"/>
      <c r="O315"/>
      <c r="P315"/>
    </row>
    <row r="316" spans="1:16" x14ac:dyDescent="0.25">
      <c r="A316"/>
      <c r="B316"/>
      <c r="C316"/>
      <c r="D316"/>
      <c r="E316"/>
      <c r="F316"/>
      <c r="G316"/>
      <c r="H316"/>
      <c r="I316"/>
      <c r="J316"/>
      <c r="K316"/>
      <c r="O316"/>
      <c r="P316"/>
    </row>
    <row r="317" spans="1:16" x14ac:dyDescent="0.25">
      <c r="A317"/>
      <c r="B317"/>
      <c r="C317"/>
      <c r="D317"/>
      <c r="E317"/>
      <c r="F317"/>
      <c r="G317"/>
      <c r="H317"/>
      <c r="I317"/>
      <c r="J317"/>
      <c r="K317"/>
      <c r="O317"/>
      <c r="P317"/>
    </row>
    <row r="318" spans="1:16" x14ac:dyDescent="0.25">
      <c r="A318"/>
      <c r="B318"/>
      <c r="C318"/>
      <c r="D318"/>
      <c r="E318"/>
      <c r="F318"/>
      <c r="G318"/>
      <c r="H318"/>
      <c r="I318"/>
      <c r="J318"/>
      <c r="K318"/>
      <c r="O318"/>
      <c r="P318"/>
    </row>
    <row r="319" spans="1:16" x14ac:dyDescent="0.25">
      <c r="A319"/>
      <c r="B319"/>
      <c r="C319"/>
      <c r="D319"/>
      <c r="E319"/>
      <c r="F319"/>
      <c r="G319"/>
      <c r="H319"/>
      <c r="I319"/>
      <c r="J319"/>
      <c r="K319"/>
      <c r="O319"/>
      <c r="P319"/>
    </row>
    <row r="320" spans="1:16" x14ac:dyDescent="0.25">
      <c r="A320"/>
      <c r="B320"/>
      <c r="C320"/>
      <c r="D320"/>
      <c r="E320"/>
      <c r="F320"/>
      <c r="G320"/>
      <c r="H320"/>
      <c r="I320"/>
      <c r="J320"/>
      <c r="K320"/>
      <c r="O320"/>
      <c r="P320"/>
    </row>
    <row r="321" spans="1:16" x14ac:dyDescent="0.25">
      <c r="A321"/>
      <c r="B321"/>
      <c r="C321"/>
      <c r="D321"/>
      <c r="E321"/>
      <c r="F321"/>
      <c r="G321"/>
      <c r="H321"/>
      <c r="I321"/>
      <c r="J321"/>
      <c r="K321"/>
      <c r="O321"/>
      <c r="P321"/>
    </row>
    <row r="322" spans="1:16" x14ac:dyDescent="0.25">
      <c r="A322"/>
      <c r="B322"/>
      <c r="C322"/>
      <c r="D322"/>
      <c r="E322"/>
      <c r="F322"/>
      <c r="G322"/>
      <c r="H322"/>
      <c r="I322"/>
      <c r="J322"/>
      <c r="K322"/>
      <c r="O322"/>
      <c r="P322"/>
    </row>
    <row r="323" spans="1:16" x14ac:dyDescent="0.25">
      <c r="A323"/>
      <c r="B323"/>
      <c r="C323"/>
      <c r="D323"/>
      <c r="E323"/>
      <c r="F323"/>
      <c r="G323"/>
      <c r="H323"/>
      <c r="I323"/>
      <c r="J323"/>
      <c r="K323"/>
      <c r="O323"/>
      <c r="P323"/>
    </row>
    <row r="324" spans="1:16" x14ac:dyDescent="0.25">
      <c r="A324"/>
      <c r="B324"/>
      <c r="C324"/>
      <c r="D324"/>
      <c r="E324"/>
      <c r="F324"/>
      <c r="G324"/>
      <c r="H324"/>
      <c r="I324"/>
      <c r="J324"/>
      <c r="K324"/>
      <c r="O324"/>
      <c r="P324"/>
    </row>
    <row r="325" spans="1:16" x14ac:dyDescent="0.25">
      <c r="A325"/>
      <c r="B325"/>
      <c r="C325"/>
      <c r="D325"/>
      <c r="E325"/>
      <c r="F325"/>
      <c r="G325"/>
      <c r="H325"/>
      <c r="I325"/>
      <c r="J325"/>
      <c r="K325"/>
      <c r="O325"/>
      <c r="P325"/>
    </row>
    <row r="326" spans="1:16" x14ac:dyDescent="0.25">
      <c r="A326"/>
      <c r="B326"/>
      <c r="C326"/>
      <c r="D326"/>
      <c r="E326"/>
      <c r="F326"/>
      <c r="G326"/>
      <c r="H326"/>
      <c r="I326"/>
      <c r="J326"/>
      <c r="K326"/>
      <c r="O326"/>
      <c r="P326"/>
    </row>
    <row r="327" spans="1:16" x14ac:dyDescent="0.25">
      <c r="A327"/>
      <c r="B327"/>
      <c r="C327"/>
      <c r="D327"/>
      <c r="E327"/>
      <c r="F327"/>
      <c r="G327"/>
      <c r="H327"/>
      <c r="I327"/>
      <c r="J327"/>
      <c r="K327"/>
      <c r="O327"/>
      <c r="P327"/>
    </row>
    <row r="328" spans="1:16" x14ac:dyDescent="0.25">
      <c r="A328"/>
      <c r="B328"/>
      <c r="C328"/>
      <c r="D328"/>
      <c r="E328"/>
      <c r="F328"/>
      <c r="G328"/>
      <c r="H328"/>
      <c r="I328"/>
      <c r="J328"/>
      <c r="K328"/>
      <c r="O328"/>
      <c r="P328"/>
    </row>
    <row r="329" spans="1:16" x14ac:dyDescent="0.25">
      <c r="A329"/>
      <c r="B329"/>
      <c r="C329"/>
      <c r="D329"/>
      <c r="E329"/>
      <c r="F329"/>
      <c r="G329"/>
      <c r="H329"/>
      <c r="I329"/>
      <c r="J329"/>
      <c r="K329"/>
      <c r="O329"/>
      <c r="P329"/>
    </row>
    <row r="330" spans="1:16" x14ac:dyDescent="0.25">
      <c r="A330"/>
      <c r="B330"/>
      <c r="C330"/>
      <c r="D330"/>
      <c r="E330"/>
      <c r="F330"/>
      <c r="G330"/>
      <c r="H330"/>
      <c r="I330"/>
      <c r="J330"/>
      <c r="K330"/>
      <c r="O330"/>
      <c r="P330"/>
    </row>
    <row r="331" spans="1:16" x14ac:dyDescent="0.25">
      <c r="A331"/>
      <c r="B331"/>
      <c r="C331"/>
      <c r="D331"/>
      <c r="E331"/>
      <c r="F331"/>
      <c r="G331"/>
      <c r="H331"/>
      <c r="I331"/>
      <c r="J331"/>
      <c r="K331"/>
      <c r="O331"/>
      <c r="P331"/>
    </row>
    <row r="332" spans="1:16" x14ac:dyDescent="0.25">
      <c r="A332"/>
      <c r="B332"/>
      <c r="C332"/>
      <c r="D332"/>
      <c r="E332"/>
      <c r="F332"/>
      <c r="G332"/>
      <c r="H332"/>
      <c r="I332"/>
      <c r="J332"/>
      <c r="K332"/>
      <c r="O332"/>
      <c r="P332"/>
    </row>
    <row r="333" spans="1:16" x14ac:dyDescent="0.25">
      <c r="A333"/>
      <c r="B333"/>
      <c r="C333"/>
      <c r="D333"/>
      <c r="E333"/>
      <c r="F333"/>
      <c r="G333"/>
      <c r="H333"/>
      <c r="I333"/>
      <c r="J333"/>
      <c r="K333"/>
      <c r="O333"/>
      <c r="P333"/>
    </row>
    <row r="334" spans="1:16" x14ac:dyDescent="0.25">
      <c r="A334"/>
      <c r="B334"/>
      <c r="C334"/>
      <c r="D334"/>
      <c r="E334"/>
      <c r="F334"/>
      <c r="G334"/>
      <c r="H334"/>
      <c r="I334"/>
      <c r="J334"/>
      <c r="K334"/>
      <c r="O334"/>
      <c r="P334"/>
    </row>
    <row r="335" spans="1:16" x14ac:dyDescent="0.25">
      <c r="A335"/>
      <c r="B335"/>
      <c r="C335"/>
      <c r="D335"/>
      <c r="E335"/>
      <c r="F335"/>
      <c r="G335"/>
      <c r="H335"/>
      <c r="I335"/>
      <c r="J335"/>
      <c r="K335"/>
      <c r="O335"/>
      <c r="P335"/>
    </row>
    <row r="336" spans="1:16" x14ac:dyDescent="0.25">
      <c r="A336"/>
      <c r="B336"/>
      <c r="C336"/>
      <c r="D336"/>
      <c r="E336"/>
      <c r="F336"/>
      <c r="G336"/>
      <c r="H336"/>
      <c r="I336"/>
      <c r="J336"/>
      <c r="K336"/>
      <c r="O336"/>
      <c r="P336"/>
    </row>
    <row r="337" spans="1:16" x14ac:dyDescent="0.25">
      <c r="A337"/>
      <c r="B337"/>
      <c r="C337"/>
      <c r="D337"/>
      <c r="E337"/>
      <c r="F337"/>
      <c r="G337"/>
      <c r="H337"/>
      <c r="I337"/>
      <c r="J337"/>
      <c r="K337"/>
      <c r="O337"/>
      <c r="P337"/>
    </row>
    <row r="338" spans="1:16" x14ac:dyDescent="0.25">
      <c r="A338"/>
      <c r="B338"/>
      <c r="C338"/>
      <c r="D338"/>
      <c r="E338"/>
      <c r="F338"/>
      <c r="G338"/>
      <c r="H338"/>
      <c r="I338"/>
      <c r="J338"/>
      <c r="K338"/>
      <c r="O338"/>
      <c r="P338"/>
    </row>
    <row r="339" spans="1:16" x14ac:dyDescent="0.25">
      <c r="A339"/>
      <c r="B339"/>
      <c r="C339"/>
      <c r="D339"/>
      <c r="E339"/>
      <c r="F339"/>
      <c r="G339"/>
      <c r="H339"/>
      <c r="I339"/>
      <c r="J339"/>
      <c r="K339"/>
      <c r="O339"/>
      <c r="P339"/>
    </row>
    <row r="340" spans="1:16" x14ac:dyDescent="0.25">
      <c r="A340"/>
      <c r="B340"/>
      <c r="C340"/>
      <c r="D340"/>
      <c r="E340"/>
      <c r="F340"/>
      <c r="G340"/>
      <c r="H340"/>
      <c r="I340"/>
      <c r="J340"/>
      <c r="K340"/>
      <c r="O340"/>
      <c r="P340"/>
    </row>
    <row r="341" spans="1:16" x14ac:dyDescent="0.25">
      <c r="A341"/>
      <c r="B341"/>
      <c r="C341"/>
      <c r="D341"/>
      <c r="E341"/>
      <c r="F341"/>
      <c r="G341"/>
      <c r="H341"/>
      <c r="I341"/>
      <c r="J341"/>
      <c r="K341"/>
      <c r="O341"/>
      <c r="P341"/>
    </row>
    <row r="342" spans="1:16" x14ac:dyDescent="0.25">
      <c r="A342"/>
      <c r="B342"/>
      <c r="C342"/>
      <c r="D342"/>
      <c r="E342"/>
      <c r="F342"/>
      <c r="G342"/>
      <c r="H342"/>
      <c r="I342"/>
      <c r="J342"/>
      <c r="K342"/>
      <c r="O342"/>
      <c r="P342"/>
    </row>
    <row r="343" spans="1:16" x14ac:dyDescent="0.25">
      <c r="A343"/>
      <c r="B343"/>
      <c r="C343"/>
      <c r="D343"/>
      <c r="E343"/>
      <c r="F343"/>
      <c r="G343"/>
      <c r="H343"/>
      <c r="I343"/>
      <c r="J343"/>
      <c r="K343"/>
      <c r="O343"/>
      <c r="P343"/>
    </row>
    <row r="344" spans="1:16" x14ac:dyDescent="0.25">
      <c r="A344"/>
      <c r="B344"/>
      <c r="C344"/>
      <c r="D344"/>
      <c r="E344"/>
      <c r="F344"/>
      <c r="G344"/>
      <c r="H344"/>
      <c r="I344"/>
      <c r="J344"/>
      <c r="K344"/>
      <c r="O344"/>
      <c r="P344"/>
    </row>
    <row r="345" spans="1:16" x14ac:dyDescent="0.25">
      <c r="A345"/>
      <c r="B345"/>
      <c r="C345"/>
      <c r="D345"/>
      <c r="E345"/>
      <c r="F345"/>
      <c r="G345"/>
      <c r="H345"/>
      <c r="I345"/>
      <c r="J345"/>
      <c r="K345"/>
      <c r="O345"/>
      <c r="P345"/>
    </row>
    <row r="346" spans="1:16" x14ac:dyDescent="0.25">
      <c r="A346"/>
      <c r="B346"/>
      <c r="C346"/>
      <c r="D346"/>
      <c r="E346"/>
      <c r="F346"/>
      <c r="G346"/>
      <c r="H346"/>
      <c r="I346"/>
      <c r="J346"/>
      <c r="K346"/>
      <c r="O346"/>
      <c r="P346"/>
    </row>
    <row r="347" spans="1:16" x14ac:dyDescent="0.25">
      <c r="A347"/>
      <c r="B347"/>
      <c r="C347"/>
      <c r="D347"/>
      <c r="E347"/>
      <c r="F347"/>
      <c r="G347"/>
      <c r="H347"/>
      <c r="I347"/>
      <c r="J347"/>
      <c r="K347"/>
      <c r="O347"/>
      <c r="P347"/>
    </row>
    <row r="348" spans="1:16" x14ac:dyDescent="0.25">
      <c r="A348"/>
      <c r="B348"/>
      <c r="C348"/>
      <c r="D348"/>
      <c r="E348"/>
      <c r="F348"/>
      <c r="G348"/>
      <c r="H348"/>
      <c r="I348"/>
      <c r="J348"/>
      <c r="K348"/>
      <c r="O348"/>
      <c r="P348"/>
    </row>
    <row r="349" spans="1:16" x14ac:dyDescent="0.25">
      <c r="A349"/>
      <c r="B349"/>
      <c r="C349"/>
      <c r="D349"/>
      <c r="E349"/>
      <c r="F349"/>
      <c r="G349"/>
      <c r="H349"/>
      <c r="I349"/>
      <c r="J349"/>
      <c r="K349"/>
      <c r="O349"/>
      <c r="P349"/>
    </row>
    <row r="350" spans="1:16" x14ac:dyDescent="0.25">
      <c r="A350"/>
      <c r="B350"/>
      <c r="C350"/>
      <c r="D350"/>
      <c r="E350"/>
      <c r="F350"/>
      <c r="G350"/>
      <c r="H350"/>
      <c r="I350"/>
      <c r="J350"/>
      <c r="K350"/>
      <c r="O350"/>
      <c r="P350"/>
    </row>
    <row r="351" spans="1:16" x14ac:dyDescent="0.25">
      <c r="A351"/>
      <c r="B351"/>
      <c r="C351"/>
      <c r="D351"/>
      <c r="E351"/>
      <c r="F351"/>
      <c r="G351"/>
      <c r="H351"/>
      <c r="I351"/>
      <c r="J351"/>
      <c r="K351"/>
      <c r="O351"/>
      <c r="P351"/>
    </row>
    <row r="352" spans="1:16" x14ac:dyDescent="0.25">
      <c r="A352"/>
      <c r="B352"/>
      <c r="C352"/>
      <c r="D352"/>
      <c r="E352"/>
      <c r="F352"/>
      <c r="G352"/>
      <c r="H352"/>
      <c r="I352"/>
      <c r="J352"/>
      <c r="K352"/>
      <c r="O352"/>
      <c r="P352"/>
    </row>
    <row r="353" spans="1:16" x14ac:dyDescent="0.25">
      <c r="A353"/>
      <c r="B353"/>
      <c r="C353"/>
      <c r="D353"/>
      <c r="E353"/>
      <c r="F353"/>
      <c r="G353"/>
      <c r="H353"/>
      <c r="I353"/>
      <c r="J353"/>
      <c r="K353"/>
      <c r="O353"/>
      <c r="P353"/>
    </row>
    <row r="354" spans="1:16" x14ac:dyDescent="0.25">
      <c r="A354"/>
      <c r="B354"/>
      <c r="C354"/>
      <c r="D354"/>
      <c r="E354"/>
      <c r="F354"/>
      <c r="G354"/>
      <c r="H354"/>
      <c r="I354"/>
      <c r="J354"/>
      <c r="K354"/>
      <c r="O354"/>
      <c r="P354"/>
    </row>
    <row r="355" spans="1:16" x14ac:dyDescent="0.25">
      <c r="A355"/>
      <c r="B355"/>
      <c r="C355"/>
      <c r="D355"/>
      <c r="E355"/>
      <c r="F355"/>
      <c r="G355"/>
      <c r="H355"/>
      <c r="I355"/>
      <c r="J355"/>
      <c r="K355"/>
      <c r="O355"/>
      <c r="P355"/>
    </row>
    <row r="356" spans="1:16" x14ac:dyDescent="0.25">
      <c r="A356"/>
      <c r="B356"/>
      <c r="C356"/>
      <c r="D356"/>
      <c r="E356"/>
      <c r="F356"/>
      <c r="G356"/>
      <c r="H356"/>
      <c r="I356"/>
      <c r="J356"/>
      <c r="K356"/>
      <c r="O356"/>
      <c r="P356"/>
    </row>
    <row r="357" spans="1:16" x14ac:dyDescent="0.25">
      <c r="A357"/>
      <c r="B357"/>
      <c r="C357"/>
      <c r="D357"/>
      <c r="E357"/>
      <c r="F357"/>
      <c r="G357"/>
      <c r="H357"/>
      <c r="I357"/>
      <c r="J357"/>
      <c r="K357"/>
      <c r="O357"/>
      <c r="P357"/>
    </row>
    <row r="358" spans="1:16" x14ac:dyDescent="0.25">
      <c r="A358"/>
      <c r="B358"/>
      <c r="C358"/>
      <c r="D358"/>
      <c r="E358"/>
      <c r="F358"/>
      <c r="G358"/>
      <c r="H358"/>
      <c r="I358"/>
      <c r="J358"/>
      <c r="K358"/>
      <c r="O358"/>
      <c r="P358"/>
    </row>
    <row r="359" spans="1:16" x14ac:dyDescent="0.25">
      <c r="A359"/>
      <c r="B359"/>
      <c r="C359"/>
      <c r="D359"/>
      <c r="E359"/>
      <c r="F359"/>
      <c r="G359"/>
      <c r="H359"/>
      <c r="I359"/>
      <c r="J359"/>
      <c r="K359"/>
      <c r="O359"/>
      <c r="P359"/>
    </row>
    <row r="360" spans="1:16" x14ac:dyDescent="0.25">
      <c r="A360"/>
      <c r="B360"/>
      <c r="C360"/>
      <c r="D360"/>
      <c r="E360"/>
      <c r="F360"/>
      <c r="G360"/>
      <c r="H360"/>
      <c r="I360"/>
      <c r="J360"/>
      <c r="K360"/>
      <c r="O360"/>
      <c r="P360"/>
    </row>
    <row r="361" spans="1:16" x14ac:dyDescent="0.25">
      <c r="A361"/>
      <c r="B361"/>
      <c r="C361"/>
      <c r="D361"/>
      <c r="E361"/>
      <c r="F361"/>
      <c r="G361"/>
      <c r="H361"/>
      <c r="I361"/>
      <c r="J361"/>
      <c r="K361"/>
      <c r="O361"/>
      <c r="P361"/>
    </row>
    <row r="362" spans="1:16" x14ac:dyDescent="0.25">
      <c r="A362"/>
      <c r="B362"/>
      <c r="C362"/>
      <c r="D362"/>
      <c r="E362"/>
      <c r="F362"/>
      <c r="G362"/>
      <c r="H362"/>
      <c r="I362"/>
      <c r="J362"/>
      <c r="K362"/>
      <c r="O362"/>
      <c r="P362"/>
    </row>
    <row r="363" spans="1:16" x14ac:dyDescent="0.25">
      <c r="A363"/>
      <c r="B363"/>
      <c r="C363"/>
      <c r="D363"/>
      <c r="E363"/>
      <c r="F363"/>
      <c r="G363"/>
      <c r="H363"/>
      <c r="I363"/>
      <c r="J363"/>
      <c r="K363"/>
      <c r="O363"/>
      <c r="P363"/>
    </row>
    <row r="364" spans="1:16" x14ac:dyDescent="0.25">
      <c r="A364"/>
      <c r="B364"/>
      <c r="C364"/>
      <c r="D364"/>
      <c r="E364"/>
      <c r="F364"/>
      <c r="G364"/>
      <c r="H364"/>
      <c r="I364"/>
      <c r="J364"/>
      <c r="K364"/>
      <c r="O364"/>
      <c r="P364"/>
    </row>
    <row r="365" spans="1:16" x14ac:dyDescent="0.25">
      <c r="A365"/>
      <c r="B365"/>
      <c r="C365"/>
      <c r="D365"/>
      <c r="E365"/>
      <c r="F365"/>
      <c r="G365"/>
      <c r="H365"/>
      <c r="I365"/>
      <c r="J365"/>
      <c r="K365"/>
      <c r="O365"/>
      <c r="P365"/>
    </row>
    <row r="366" spans="1:16" x14ac:dyDescent="0.25">
      <c r="A366"/>
      <c r="B366"/>
      <c r="C366"/>
      <c r="D366"/>
      <c r="E366"/>
      <c r="F366"/>
      <c r="G366"/>
      <c r="H366"/>
      <c r="I366"/>
      <c r="J366"/>
      <c r="K366"/>
      <c r="O366"/>
      <c r="P366"/>
    </row>
    <row r="367" spans="1:16" x14ac:dyDescent="0.25">
      <c r="A367"/>
      <c r="B367"/>
      <c r="C367"/>
      <c r="D367"/>
      <c r="E367"/>
      <c r="F367"/>
      <c r="G367"/>
      <c r="H367"/>
      <c r="I367"/>
      <c r="J367"/>
      <c r="K367"/>
      <c r="O367"/>
      <c r="P367"/>
    </row>
    <row r="368" spans="1:16" x14ac:dyDescent="0.25">
      <c r="A368"/>
      <c r="B368"/>
      <c r="C368"/>
      <c r="D368"/>
      <c r="E368"/>
      <c r="F368"/>
      <c r="G368"/>
      <c r="H368"/>
      <c r="I368"/>
      <c r="J368"/>
      <c r="K368"/>
      <c r="O368"/>
      <c r="P368"/>
    </row>
    <row r="369" spans="1:16" x14ac:dyDescent="0.25">
      <c r="A369"/>
      <c r="B369"/>
      <c r="C369"/>
      <c r="D369"/>
      <c r="E369"/>
      <c r="F369"/>
      <c r="G369"/>
      <c r="H369"/>
      <c r="I369"/>
      <c r="J369"/>
      <c r="K369"/>
      <c r="O369"/>
      <c r="P369"/>
    </row>
    <row r="370" spans="1:16" x14ac:dyDescent="0.25">
      <c r="A370"/>
      <c r="B370"/>
      <c r="C370"/>
      <c r="D370"/>
      <c r="E370"/>
      <c r="F370"/>
      <c r="G370"/>
      <c r="H370"/>
      <c r="I370"/>
      <c r="J370"/>
      <c r="K370"/>
      <c r="O370"/>
      <c r="P370"/>
    </row>
    <row r="371" spans="1:16" x14ac:dyDescent="0.25">
      <c r="A371"/>
      <c r="B371"/>
      <c r="C371"/>
      <c r="D371"/>
      <c r="E371"/>
      <c r="F371"/>
      <c r="G371"/>
      <c r="H371"/>
      <c r="I371"/>
      <c r="J371"/>
      <c r="K371"/>
      <c r="O371"/>
      <c r="P371"/>
    </row>
    <row r="372" spans="1:16" x14ac:dyDescent="0.25">
      <c r="A372"/>
      <c r="B372"/>
      <c r="C372"/>
      <c r="D372"/>
      <c r="E372"/>
      <c r="F372"/>
      <c r="G372"/>
      <c r="H372"/>
      <c r="I372"/>
      <c r="J372"/>
      <c r="K372"/>
      <c r="O372"/>
      <c r="P372"/>
    </row>
    <row r="373" spans="1:16" x14ac:dyDescent="0.25">
      <c r="A373"/>
      <c r="B373"/>
      <c r="C373"/>
      <c r="D373"/>
      <c r="E373"/>
      <c r="F373"/>
      <c r="G373"/>
      <c r="H373"/>
      <c r="I373"/>
      <c r="J373"/>
      <c r="K373"/>
      <c r="O373"/>
      <c r="P373"/>
    </row>
    <row r="374" spans="1:16" x14ac:dyDescent="0.25">
      <c r="A374"/>
      <c r="B374"/>
      <c r="C374"/>
      <c r="D374"/>
      <c r="E374"/>
      <c r="F374"/>
      <c r="G374"/>
      <c r="H374"/>
      <c r="I374"/>
      <c r="J374"/>
      <c r="K374"/>
      <c r="O374"/>
      <c r="P374"/>
    </row>
    <row r="375" spans="1:16" x14ac:dyDescent="0.25">
      <c r="A375"/>
      <c r="B375"/>
      <c r="C375"/>
      <c r="D375"/>
      <c r="E375"/>
      <c r="F375"/>
      <c r="G375"/>
      <c r="H375"/>
      <c r="I375"/>
      <c r="J375"/>
      <c r="K375"/>
      <c r="O375"/>
      <c r="P375"/>
    </row>
    <row r="376" spans="1:16" x14ac:dyDescent="0.25">
      <c r="A376"/>
      <c r="B376"/>
      <c r="C376"/>
      <c r="D376"/>
      <c r="E376"/>
      <c r="F376"/>
      <c r="G376"/>
      <c r="H376"/>
      <c r="I376"/>
      <c r="J376"/>
      <c r="K376"/>
      <c r="O376"/>
      <c r="P376"/>
    </row>
    <row r="377" spans="1:16" x14ac:dyDescent="0.25">
      <c r="A377"/>
      <c r="B377"/>
      <c r="C377"/>
      <c r="D377"/>
      <c r="E377"/>
      <c r="F377"/>
      <c r="G377"/>
      <c r="H377"/>
      <c r="I377"/>
      <c r="J377"/>
      <c r="K377"/>
      <c r="O377"/>
      <c r="P377"/>
    </row>
    <row r="378" spans="1:16" x14ac:dyDescent="0.25">
      <c r="A378"/>
      <c r="B378"/>
      <c r="C378"/>
      <c r="D378"/>
      <c r="E378"/>
      <c r="F378"/>
      <c r="G378"/>
      <c r="H378"/>
      <c r="I378"/>
      <c r="J378"/>
      <c r="K378"/>
      <c r="O378"/>
      <c r="P378"/>
    </row>
    <row r="379" spans="1:16" x14ac:dyDescent="0.25">
      <c r="A379"/>
      <c r="B379"/>
      <c r="C379"/>
      <c r="D379"/>
      <c r="E379"/>
      <c r="F379"/>
      <c r="G379"/>
      <c r="H379"/>
      <c r="I379"/>
      <c r="J379"/>
      <c r="K379"/>
      <c r="O379"/>
      <c r="P379"/>
    </row>
    <row r="380" spans="1:16" x14ac:dyDescent="0.25">
      <c r="A380"/>
      <c r="B380"/>
      <c r="C380"/>
      <c r="D380"/>
      <c r="E380"/>
      <c r="F380"/>
      <c r="G380"/>
      <c r="H380"/>
      <c r="I380"/>
      <c r="J380"/>
      <c r="K380"/>
      <c r="O380"/>
      <c r="P380"/>
    </row>
    <row r="381" spans="1:16" x14ac:dyDescent="0.25">
      <c r="A381"/>
      <c r="B381"/>
      <c r="C381"/>
      <c r="D381"/>
      <c r="E381"/>
      <c r="F381"/>
      <c r="G381"/>
      <c r="H381"/>
      <c r="I381"/>
      <c r="J381"/>
      <c r="K381"/>
      <c r="O381"/>
      <c r="P381"/>
    </row>
    <row r="382" spans="1:16" x14ac:dyDescent="0.25">
      <c r="A382"/>
      <c r="B382"/>
      <c r="C382"/>
      <c r="D382"/>
      <c r="E382"/>
      <c r="F382"/>
      <c r="G382"/>
      <c r="H382"/>
      <c r="I382"/>
      <c r="J382"/>
      <c r="K382"/>
      <c r="O382"/>
      <c r="P382"/>
    </row>
    <row r="383" spans="1:16" x14ac:dyDescent="0.25">
      <c r="A383"/>
      <c r="B383"/>
      <c r="C383"/>
      <c r="D383"/>
      <c r="E383"/>
      <c r="F383"/>
      <c r="G383"/>
      <c r="H383"/>
      <c r="I383"/>
      <c r="J383"/>
      <c r="K383"/>
      <c r="O383"/>
      <c r="P383"/>
    </row>
    <row r="384" spans="1:16" x14ac:dyDescent="0.25">
      <c r="A384"/>
      <c r="B384"/>
      <c r="C384"/>
      <c r="D384"/>
      <c r="E384"/>
      <c r="F384"/>
      <c r="G384"/>
      <c r="H384"/>
      <c r="I384"/>
      <c r="J384"/>
      <c r="K384"/>
      <c r="O384"/>
      <c r="P384"/>
    </row>
    <row r="385" spans="1:16" x14ac:dyDescent="0.25">
      <c r="A385"/>
      <c r="B385"/>
      <c r="C385"/>
      <c r="D385"/>
      <c r="E385"/>
      <c r="F385"/>
      <c r="G385"/>
      <c r="H385"/>
      <c r="I385"/>
      <c r="J385"/>
      <c r="K385"/>
      <c r="O385"/>
      <c r="P385"/>
    </row>
    <row r="386" spans="1:16" x14ac:dyDescent="0.25">
      <c r="A386"/>
      <c r="B386"/>
      <c r="C386"/>
      <c r="D386"/>
      <c r="E386"/>
      <c r="F386"/>
      <c r="G386"/>
      <c r="H386"/>
      <c r="I386"/>
      <c r="J386"/>
      <c r="K386"/>
      <c r="O386"/>
      <c r="P386"/>
    </row>
    <row r="387" spans="1:16" x14ac:dyDescent="0.25">
      <c r="A387"/>
      <c r="B387"/>
      <c r="C387"/>
      <c r="D387"/>
      <c r="E387"/>
      <c r="F387"/>
      <c r="G387"/>
      <c r="H387"/>
      <c r="I387"/>
      <c r="J387"/>
      <c r="K387"/>
      <c r="O387"/>
      <c r="P387"/>
    </row>
    <row r="388" spans="1:16" x14ac:dyDescent="0.25">
      <c r="A388"/>
      <c r="B388"/>
      <c r="C388"/>
      <c r="D388"/>
      <c r="E388"/>
      <c r="F388"/>
      <c r="G388"/>
      <c r="H388"/>
      <c r="I388"/>
      <c r="J388"/>
      <c r="K388"/>
      <c r="O388"/>
      <c r="P388"/>
    </row>
    <row r="389" spans="1:16" x14ac:dyDescent="0.25">
      <c r="A389"/>
      <c r="B389"/>
      <c r="C389"/>
      <c r="D389"/>
      <c r="E389"/>
      <c r="F389"/>
      <c r="G389"/>
      <c r="H389"/>
      <c r="I389"/>
      <c r="J389"/>
      <c r="K389"/>
      <c r="O389"/>
      <c r="P389"/>
    </row>
    <row r="390" spans="1:16" x14ac:dyDescent="0.25">
      <c r="A390"/>
      <c r="B390"/>
      <c r="C390"/>
      <c r="D390"/>
      <c r="E390"/>
      <c r="F390"/>
      <c r="G390"/>
      <c r="H390"/>
      <c r="I390"/>
      <c r="J390"/>
      <c r="K390"/>
      <c r="O390"/>
      <c r="P390"/>
    </row>
    <row r="391" spans="1:16" x14ac:dyDescent="0.25">
      <c r="A391"/>
      <c r="B391"/>
      <c r="C391"/>
      <c r="D391"/>
      <c r="E391"/>
      <c r="F391"/>
      <c r="G391"/>
      <c r="H391"/>
      <c r="I391"/>
      <c r="J391"/>
      <c r="K391"/>
      <c r="O391"/>
      <c r="P391"/>
    </row>
    <row r="392" spans="1:16" x14ac:dyDescent="0.25">
      <c r="A392"/>
      <c r="B392"/>
      <c r="C392"/>
      <c r="D392"/>
      <c r="E392"/>
      <c r="F392"/>
      <c r="G392"/>
      <c r="H392"/>
      <c r="I392"/>
      <c r="J392"/>
      <c r="K392"/>
      <c r="O392"/>
      <c r="P392"/>
    </row>
    <row r="393" spans="1:16" x14ac:dyDescent="0.25">
      <c r="A393"/>
      <c r="B393"/>
      <c r="C393"/>
      <c r="D393"/>
      <c r="E393"/>
      <c r="F393"/>
      <c r="G393"/>
      <c r="H393"/>
      <c r="I393"/>
      <c r="J393"/>
      <c r="K393"/>
      <c r="O393"/>
      <c r="P393"/>
    </row>
    <row r="394" spans="1:16" x14ac:dyDescent="0.25">
      <c r="A394"/>
      <c r="B394"/>
      <c r="C394"/>
      <c r="D394"/>
      <c r="E394"/>
      <c r="F394"/>
      <c r="G394"/>
      <c r="H394"/>
      <c r="I394"/>
      <c r="J394"/>
      <c r="K394"/>
      <c r="O394"/>
      <c r="P394"/>
    </row>
    <row r="395" spans="1:16" x14ac:dyDescent="0.25">
      <c r="A395"/>
      <c r="B395"/>
      <c r="C395"/>
      <c r="D395"/>
      <c r="E395"/>
      <c r="F395"/>
      <c r="G395"/>
      <c r="H395"/>
      <c r="I395"/>
      <c r="J395"/>
      <c r="K395"/>
      <c r="O395"/>
      <c r="P395"/>
    </row>
    <row r="396" spans="1:16" x14ac:dyDescent="0.25">
      <c r="A396"/>
      <c r="B396"/>
      <c r="C396"/>
      <c r="D396"/>
      <c r="E396"/>
      <c r="F396"/>
      <c r="G396"/>
      <c r="H396"/>
      <c r="I396"/>
      <c r="J396"/>
      <c r="K396"/>
      <c r="O396"/>
      <c r="P396"/>
    </row>
    <row r="397" spans="1:16" x14ac:dyDescent="0.25">
      <c r="A397"/>
      <c r="B397"/>
      <c r="C397"/>
      <c r="D397"/>
      <c r="E397"/>
      <c r="F397"/>
      <c r="G397"/>
      <c r="H397"/>
      <c r="I397"/>
      <c r="J397"/>
      <c r="K397"/>
      <c r="O397"/>
      <c r="P397"/>
    </row>
    <row r="398" spans="1:16" x14ac:dyDescent="0.25">
      <c r="A398"/>
      <c r="B398"/>
      <c r="C398"/>
      <c r="D398"/>
      <c r="E398"/>
      <c r="F398"/>
      <c r="G398"/>
      <c r="H398"/>
      <c r="I398"/>
      <c r="J398"/>
      <c r="K398"/>
      <c r="O398"/>
      <c r="P398"/>
    </row>
    <row r="399" spans="1:16" x14ac:dyDescent="0.25">
      <c r="A399"/>
      <c r="B399"/>
      <c r="C399"/>
      <c r="D399"/>
      <c r="E399"/>
      <c r="F399"/>
      <c r="G399"/>
      <c r="H399"/>
      <c r="I399"/>
      <c r="J399"/>
      <c r="K399"/>
      <c r="O399"/>
      <c r="P399"/>
    </row>
    <row r="400" spans="1:16" x14ac:dyDescent="0.25">
      <c r="A400"/>
      <c r="B400"/>
      <c r="C400"/>
      <c r="D400"/>
      <c r="E400"/>
      <c r="F400"/>
      <c r="G400"/>
      <c r="H400"/>
      <c r="I400"/>
      <c r="J400"/>
      <c r="K400"/>
      <c r="O400"/>
      <c r="P400"/>
    </row>
    <row r="401" spans="1:16" x14ac:dyDescent="0.25">
      <c r="A401"/>
      <c r="B401"/>
      <c r="C401"/>
      <c r="D401"/>
      <c r="E401"/>
      <c r="F401"/>
      <c r="G401"/>
      <c r="H401"/>
      <c r="I401"/>
      <c r="J401"/>
      <c r="K401"/>
      <c r="O401"/>
      <c r="P401"/>
    </row>
    <row r="402" spans="1:16" x14ac:dyDescent="0.25">
      <c r="A402"/>
      <c r="B402"/>
      <c r="C402"/>
      <c r="D402"/>
      <c r="E402"/>
      <c r="F402"/>
      <c r="G402"/>
      <c r="H402"/>
      <c r="I402"/>
      <c r="J402"/>
      <c r="K402"/>
      <c r="O402"/>
      <c r="P402"/>
    </row>
    <row r="403" spans="1:16" x14ac:dyDescent="0.25">
      <c r="A403"/>
      <c r="B403"/>
      <c r="C403"/>
      <c r="D403"/>
      <c r="E403"/>
      <c r="F403"/>
      <c r="G403"/>
      <c r="H403"/>
      <c r="I403"/>
      <c r="J403"/>
      <c r="K403"/>
      <c r="O403"/>
      <c r="P403"/>
    </row>
    <row r="404" spans="1:16" x14ac:dyDescent="0.25">
      <c r="A404"/>
      <c r="B404"/>
      <c r="C404"/>
      <c r="D404"/>
      <c r="E404"/>
      <c r="F404"/>
      <c r="G404"/>
      <c r="H404"/>
      <c r="I404"/>
      <c r="J404"/>
      <c r="K404"/>
      <c r="O404"/>
      <c r="P404"/>
    </row>
    <row r="405" spans="1:16" x14ac:dyDescent="0.25">
      <c r="A405"/>
      <c r="B405"/>
      <c r="C405"/>
      <c r="D405"/>
      <c r="E405"/>
      <c r="F405"/>
      <c r="G405"/>
      <c r="H405"/>
      <c r="I405"/>
      <c r="J405"/>
      <c r="K405"/>
      <c r="O405"/>
      <c r="P405"/>
    </row>
    <row r="406" spans="1:16" x14ac:dyDescent="0.25">
      <c r="A406"/>
      <c r="B406"/>
      <c r="C406"/>
      <c r="D406"/>
      <c r="E406"/>
      <c r="F406"/>
      <c r="G406"/>
      <c r="H406"/>
      <c r="I406"/>
      <c r="J406"/>
      <c r="K406"/>
      <c r="O406"/>
      <c r="P406"/>
    </row>
    <row r="407" spans="1:16" x14ac:dyDescent="0.25">
      <c r="A407"/>
      <c r="B407"/>
      <c r="C407"/>
      <c r="D407"/>
      <c r="E407"/>
      <c r="F407"/>
      <c r="G407"/>
      <c r="H407"/>
      <c r="I407"/>
      <c r="J407"/>
      <c r="K407"/>
      <c r="O407"/>
      <c r="P407"/>
    </row>
    <row r="408" spans="1:16" x14ac:dyDescent="0.25">
      <c r="A408"/>
      <c r="B408"/>
      <c r="C408"/>
      <c r="D408"/>
      <c r="E408"/>
      <c r="F408"/>
      <c r="G408"/>
      <c r="H408"/>
      <c r="I408"/>
      <c r="J408"/>
      <c r="K408"/>
      <c r="O408"/>
      <c r="P408"/>
    </row>
    <row r="409" spans="1:16" x14ac:dyDescent="0.25">
      <c r="A409"/>
      <c r="B409"/>
      <c r="C409"/>
      <c r="D409"/>
      <c r="E409"/>
      <c r="F409"/>
      <c r="G409"/>
      <c r="H409"/>
      <c r="I409"/>
      <c r="J409"/>
      <c r="K409"/>
      <c r="O409"/>
      <c r="P409"/>
    </row>
    <row r="410" spans="1:16" x14ac:dyDescent="0.25">
      <c r="A410"/>
      <c r="B410"/>
      <c r="C410"/>
      <c r="D410"/>
      <c r="E410"/>
      <c r="F410"/>
      <c r="G410"/>
      <c r="H410"/>
      <c r="I410"/>
      <c r="J410"/>
      <c r="K410"/>
      <c r="O410"/>
      <c r="P410"/>
    </row>
    <row r="411" spans="1:16" x14ac:dyDescent="0.25">
      <c r="A411"/>
      <c r="B411"/>
      <c r="C411"/>
      <c r="D411"/>
      <c r="E411"/>
      <c r="F411"/>
      <c r="G411"/>
      <c r="H411"/>
      <c r="I411"/>
      <c r="J411"/>
      <c r="K411"/>
      <c r="O411"/>
      <c r="P411"/>
    </row>
    <row r="412" spans="1:16" x14ac:dyDescent="0.25">
      <c r="A412"/>
      <c r="B412"/>
      <c r="C412"/>
      <c r="D412"/>
      <c r="E412"/>
      <c r="F412"/>
      <c r="G412"/>
      <c r="H412"/>
      <c r="I412"/>
      <c r="J412"/>
      <c r="K412"/>
      <c r="O412"/>
      <c r="P412"/>
    </row>
    <row r="413" spans="1:16" x14ac:dyDescent="0.25">
      <c r="A413"/>
      <c r="B413"/>
      <c r="C413"/>
      <c r="D413"/>
      <c r="E413"/>
      <c r="F413"/>
      <c r="G413"/>
      <c r="H413"/>
      <c r="I413"/>
      <c r="J413"/>
      <c r="K413"/>
      <c r="O413"/>
      <c r="P413"/>
    </row>
    <row r="414" spans="1:16" x14ac:dyDescent="0.25">
      <c r="A414"/>
      <c r="B414"/>
      <c r="C414"/>
      <c r="D414"/>
      <c r="E414"/>
      <c r="F414"/>
      <c r="G414"/>
      <c r="H414"/>
      <c r="I414"/>
      <c r="J414"/>
      <c r="K414"/>
      <c r="O414"/>
      <c r="P414"/>
    </row>
    <row r="415" spans="1:16" x14ac:dyDescent="0.25">
      <c r="A415"/>
      <c r="B415"/>
      <c r="C415"/>
      <c r="D415"/>
      <c r="E415"/>
      <c r="F415"/>
      <c r="G415"/>
      <c r="H415"/>
      <c r="I415"/>
      <c r="J415"/>
      <c r="K415"/>
      <c r="O415"/>
      <c r="P415"/>
    </row>
    <row r="416" spans="1:16" x14ac:dyDescent="0.25">
      <c r="A416"/>
      <c r="B416"/>
      <c r="C416"/>
      <c r="D416"/>
      <c r="E416"/>
      <c r="F416"/>
      <c r="G416"/>
      <c r="H416"/>
      <c r="I416"/>
      <c r="J416"/>
      <c r="K416"/>
      <c r="O416"/>
      <c r="P416"/>
    </row>
    <row r="417" spans="1:16" x14ac:dyDescent="0.25">
      <c r="A417"/>
      <c r="B417"/>
      <c r="C417"/>
      <c r="D417"/>
      <c r="E417"/>
      <c r="F417"/>
      <c r="G417"/>
      <c r="H417"/>
      <c r="I417"/>
      <c r="J417"/>
      <c r="K417"/>
      <c r="O417"/>
      <c r="P417"/>
    </row>
    <row r="418" spans="1:16" x14ac:dyDescent="0.25">
      <c r="A418"/>
      <c r="B418"/>
      <c r="C418"/>
      <c r="D418"/>
      <c r="E418"/>
      <c r="F418"/>
      <c r="G418"/>
      <c r="H418"/>
      <c r="I418"/>
      <c r="J418"/>
      <c r="K418"/>
      <c r="O418"/>
      <c r="P418"/>
    </row>
    <row r="419" spans="1:16" x14ac:dyDescent="0.25">
      <c r="A419"/>
      <c r="B419"/>
      <c r="C419"/>
      <c r="D419"/>
      <c r="E419"/>
      <c r="F419"/>
      <c r="G419"/>
      <c r="H419"/>
      <c r="I419"/>
      <c r="J419"/>
      <c r="K419"/>
      <c r="O419"/>
      <c r="P419"/>
    </row>
    <row r="420" spans="1:16" x14ac:dyDescent="0.25">
      <c r="A420"/>
      <c r="B420"/>
      <c r="C420"/>
      <c r="D420"/>
      <c r="E420"/>
      <c r="F420"/>
      <c r="G420"/>
      <c r="H420"/>
      <c r="I420"/>
      <c r="J420"/>
      <c r="K420"/>
      <c r="O420"/>
      <c r="P420"/>
    </row>
    <row r="421" spans="1:16" x14ac:dyDescent="0.25">
      <c r="A421"/>
      <c r="B421"/>
      <c r="C421"/>
      <c r="D421"/>
      <c r="E421"/>
      <c r="F421"/>
      <c r="G421"/>
      <c r="H421"/>
      <c r="I421"/>
      <c r="J421"/>
      <c r="K421"/>
      <c r="O421"/>
      <c r="P421"/>
    </row>
    <row r="422" spans="1:16" x14ac:dyDescent="0.25">
      <c r="A422"/>
      <c r="B422"/>
      <c r="C422"/>
      <c r="D422"/>
      <c r="E422"/>
      <c r="F422"/>
      <c r="G422"/>
      <c r="H422"/>
      <c r="I422"/>
      <c r="J422"/>
      <c r="K422"/>
      <c r="O422"/>
      <c r="P422"/>
    </row>
    <row r="423" spans="1:16" x14ac:dyDescent="0.25">
      <c r="A423"/>
      <c r="B423"/>
      <c r="C423"/>
      <c r="D423"/>
      <c r="E423"/>
      <c r="F423"/>
      <c r="G423"/>
      <c r="H423"/>
      <c r="I423"/>
      <c r="J423"/>
      <c r="K423"/>
      <c r="O423"/>
      <c r="P423"/>
    </row>
    <row r="424" spans="1:16" x14ac:dyDescent="0.25">
      <c r="A424"/>
      <c r="B424"/>
      <c r="C424"/>
      <c r="D424"/>
      <c r="E424"/>
      <c r="F424"/>
      <c r="G424"/>
      <c r="H424"/>
      <c r="I424"/>
      <c r="J424"/>
      <c r="K424"/>
      <c r="O424"/>
      <c r="P424"/>
    </row>
    <row r="425" spans="1:16" x14ac:dyDescent="0.25">
      <c r="A425"/>
      <c r="B425"/>
      <c r="C425"/>
      <c r="D425"/>
      <c r="E425"/>
      <c r="F425"/>
      <c r="G425"/>
      <c r="H425"/>
      <c r="I425"/>
      <c r="J425"/>
      <c r="K425"/>
      <c r="O425"/>
      <c r="P425"/>
    </row>
    <row r="426" spans="1:16" x14ac:dyDescent="0.25">
      <c r="A426"/>
      <c r="B426"/>
      <c r="C426"/>
      <c r="D426"/>
      <c r="E426"/>
      <c r="F426"/>
      <c r="G426"/>
      <c r="H426"/>
      <c r="I426"/>
      <c r="J426"/>
      <c r="K426"/>
      <c r="O426"/>
      <c r="P426"/>
    </row>
    <row r="427" spans="1:16" x14ac:dyDescent="0.25">
      <c r="A427"/>
      <c r="B427"/>
      <c r="C427"/>
      <c r="D427"/>
      <c r="E427"/>
      <c r="F427"/>
      <c r="G427"/>
      <c r="H427"/>
      <c r="I427"/>
      <c r="J427"/>
      <c r="K427"/>
      <c r="O427"/>
      <c r="P427"/>
    </row>
    <row r="428" spans="1:16" x14ac:dyDescent="0.25">
      <c r="A428"/>
      <c r="B428"/>
      <c r="C428"/>
      <c r="D428"/>
      <c r="E428"/>
      <c r="F428"/>
      <c r="G428"/>
      <c r="H428"/>
      <c r="I428"/>
      <c r="J428"/>
      <c r="K428"/>
      <c r="O428"/>
      <c r="P428"/>
    </row>
    <row r="429" spans="1:16" x14ac:dyDescent="0.25">
      <c r="A429"/>
      <c r="B429"/>
      <c r="C429"/>
      <c r="D429"/>
      <c r="E429"/>
      <c r="F429"/>
      <c r="G429"/>
      <c r="H429"/>
      <c r="I429"/>
      <c r="J429"/>
      <c r="K429"/>
      <c r="O429"/>
      <c r="P429"/>
    </row>
    <row r="430" spans="1:16" x14ac:dyDescent="0.25">
      <c r="A430"/>
      <c r="B430"/>
      <c r="C430"/>
      <c r="D430"/>
      <c r="E430"/>
      <c r="F430"/>
      <c r="G430"/>
      <c r="H430"/>
      <c r="I430"/>
      <c r="J430"/>
      <c r="K430"/>
      <c r="O430"/>
      <c r="P430"/>
    </row>
    <row r="431" spans="1:16" x14ac:dyDescent="0.25">
      <c r="A431"/>
      <c r="B431"/>
      <c r="C431"/>
      <c r="D431"/>
      <c r="E431"/>
      <c r="F431"/>
      <c r="G431"/>
      <c r="H431"/>
      <c r="I431"/>
      <c r="J431"/>
      <c r="K431"/>
      <c r="O431"/>
      <c r="P431"/>
    </row>
    <row r="432" spans="1:16" x14ac:dyDescent="0.25">
      <c r="A432"/>
      <c r="B432"/>
      <c r="C432"/>
      <c r="D432"/>
      <c r="E432"/>
      <c r="F432"/>
      <c r="G432"/>
      <c r="H432"/>
      <c r="I432"/>
      <c r="J432"/>
      <c r="K432"/>
      <c r="O432"/>
      <c r="P432"/>
    </row>
    <row r="433" spans="1:16" x14ac:dyDescent="0.25">
      <c r="A433"/>
      <c r="B433"/>
      <c r="C433"/>
      <c r="D433"/>
      <c r="E433"/>
      <c r="F433"/>
      <c r="G433"/>
      <c r="H433"/>
      <c r="I433"/>
      <c r="J433"/>
      <c r="K433"/>
      <c r="O433"/>
      <c r="P433"/>
    </row>
    <row r="434" spans="1:16" x14ac:dyDescent="0.25">
      <c r="A434"/>
      <c r="B434"/>
      <c r="C434"/>
      <c r="D434"/>
      <c r="E434"/>
      <c r="F434"/>
      <c r="G434"/>
      <c r="H434"/>
      <c r="I434"/>
      <c r="J434"/>
      <c r="K434"/>
      <c r="O434"/>
      <c r="P434"/>
    </row>
    <row r="435" spans="1:16" x14ac:dyDescent="0.25">
      <c r="A435"/>
      <c r="B435"/>
      <c r="C435"/>
      <c r="D435"/>
      <c r="E435"/>
      <c r="F435"/>
      <c r="G435"/>
      <c r="H435"/>
      <c r="I435"/>
      <c r="J435"/>
      <c r="K435"/>
      <c r="O435"/>
      <c r="P435"/>
    </row>
    <row r="436" spans="1:16" x14ac:dyDescent="0.25">
      <c r="A436"/>
      <c r="B436"/>
      <c r="C436"/>
      <c r="D436"/>
      <c r="E436"/>
      <c r="F436"/>
      <c r="G436"/>
      <c r="H436"/>
      <c r="I436"/>
      <c r="J436"/>
      <c r="K436"/>
      <c r="O436"/>
      <c r="P436"/>
    </row>
    <row r="437" spans="1:16" x14ac:dyDescent="0.25">
      <c r="A437"/>
      <c r="B437"/>
      <c r="C437"/>
      <c r="D437"/>
      <c r="E437"/>
      <c r="F437"/>
      <c r="G437"/>
      <c r="H437"/>
      <c r="I437"/>
      <c r="J437"/>
      <c r="K437"/>
      <c r="O437"/>
      <c r="P437"/>
    </row>
    <row r="438" spans="1:16" x14ac:dyDescent="0.25">
      <c r="A438"/>
      <c r="B438"/>
      <c r="C438"/>
      <c r="D438"/>
      <c r="E438"/>
      <c r="F438"/>
      <c r="G438"/>
      <c r="H438"/>
      <c r="I438"/>
      <c r="J438"/>
      <c r="K438"/>
      <c r="O438"/>
      <c r="P438"/>
    </row>
    <row r="439" spans="1:16" x14ac:dyDescent="0.25">
      <c r="A439"/>
      <c r="B439"/>
      <c r="C439"/>
      <c r="D439"/>
      <c r="E439"/>
      <c r="F439"/>
      <c r="G439"/>
      <c r="H439"/>
      <c r="I439"/>
      <c r="J439"/>
      <c r="K439"/>
      <c r="O439"/>
      <c r="P439"/>
    </row>
    <row r="440" spans="1:16" x14ac:dyDescent="0.25">
      <c r="A440"/>
      <c r="B440"/>
      <c r="C440"/>
      <c r="D440"/>
      <c r="E440"/>
      <c r="F440"/>
      <c r="G440"/>
      <c r="H440"/>
      <c r="I440"/>
      <c r="J440"/>
      <c r="K440"/>
      <c r="O440"/>
      <c r="P440"/>
    </row>
    <row r="441" spans="1:16" x14ac:dyDescent="0.25">
      <c r="A441"/>
      <c r="B441"/>
      <c r="C441"/>
      <c r="D441"/>
      <c r="E441"/>
      <c r="F441"/>
      <c r="G441"/>
      <c r="H441"/>
      <c r="I441"/>
      <c r="J441"/>
      <c r="K441"/>
      <c r="O441"/>
      <c r="P441"/>
    </row>
    <row r="442" spans="1:16" x14ac:dyDescent="0.25">
      <c r="A442"/>
      <c r="B442"/>
      <c r="C442"/>
      <c r="D442"/>
      <c r="E442"/>
      <c r="F442"/>
      <c r="G442"/>
      <c r="H442"/>
      <c r="I442"/>
      <c r="J442"/>
      <c r="K442"/>
      <c r="O442"/>
      <c r="P442"/>
    </row>
    <row r="443" spans="1:16" x14ac:dyDescent="0.25">
      <c r="A443"/>
      <c r="B443"/>
      <c r="C443"/>
      <c r="D443"/>
      <c r="E443"/>
      <c r="F443"/>
      <c r="G443"/>
      <c r="H443"/>
      <c r="I443"/>
      <c r="J443"/>
      <c r="K443"/>
      <c r="O443"/>
      <c r="P443"/>
    </row>
    <row r="444" spans="1:16" x14ac:dyDescent="0.25">
      <c r="A444"/>
      <c r="B444"/>
      <c r="C444"/>
      <c r="D444"/>
      <c r="E444"/>
      <c r="F444"/>
      <c r="G444"/>
      <c r="H444"/>
      <c r="I444"/>
      <c r="J444"/>
      <c r="K444"/>
      <c r="O444"/>
      <c r="P444"/>
    </row>
    <row r="445" spans="1:16" x14ac:dyDescent="0.25">
      <c r="A445"/>
      <c r="B445"/>
      <c r="C445"/>
      <c r="D445"/>
      <c r="E445"/>
      <c r="F445"/>
      <c r="G445"/>
      <c r="H445"/>
      <c r="I445"/>
      <c r="J445"/>
      <c r="K445"/>
      <c r="O445"/>
      <c r="P445"/>
    </row>
    <row r="446" spans="1:16" x14ac:dyDescent="0.25">
      <c r="A446"/>
      <c r="B446"/>
      <c r="C446"/>
      <c r="D446"/>
      <c r="E446"/>
      <c r="F446"/>
      <c r="G446"/>
      <c r="H446"/>
      <c r="I446"/>
      <c r="J446"/>
      <c r="K446"/>
      <c r="O446"/>
      <c r="P446"/>
    </row>
    <row r="447" spans="1:16" x14ac:dyDescent="0.25">
      <c r="A447"/>
      <c r="B447"/>
      <c r="C447"/>
      <c r="D447"/>
      <c r="E447"/>
      <c r="F447"/>
      <c r="G447"/>
      <c r="H447"/>
      <c r="I447"/>
      <c r="J447"/>
      <c r="K447"/>
      <c r="O447"/>
      <c r="P447"/>
    </row>
    <row r="448" spans="1:16" x14ac:dyDescent="0.25">
      <c r="A448"/>
      <c r="B448"/>
      <c r="C448"/>
      <c r="D448"/>
      <c r="E448"/>
      <c r="F448"/>
      <c r="G448"/>
      <c r="H448"/>
      <c r="I448"/>
      <c r="J448"/>
      <c r="K448"/>
      <c r="O448"/>
      <c r="P448"/>
    </row>
    <row r="449" spans="1:16" x14ac:dyDescent="0.25">
      <c r="A449"/>
      <c r="B449"/>
      <c r="C449"/>
      <c r="D449"/>
      <c r="E449"/>
      <c r="F449"/>
      <c r="G449"/>
      <c r="H449"/>
      <c r="I449"/>
      <c r="J449"/>
      <c r="K449"/>
      <c r="O449"/>
      <c r="P449"/>
    </row>
    <row r="450" spans="1:16" x14ac:dyDescent="0.25">
      <c r="A450"/>
      <c r="B450"/>
      <c r="C450"/>
      <c r="D450"/>
      <c r="E450"/>
      <c r="F450"/>
      <c r="G450"/>
      <c r="H450"/>
      <c r="I450"/>
      <c r="J450"/>
      <c r="K450"/>
      <c r="O450"/>
      <c r="P450"/>
    </row>
    <row r="451" spans="1:16" x14ac:dyDescent="0.25">
      <c r="A451"/>
      <c r="B451"/>
      <c r="C451"/>
      <c r="D451"/>
      <c r="E451"/>
      <c r="F451"/>
      <c r="G451"/>
      <c r="H451"/>
      <c r="I451"/>
      <c r="J451"/>
      <c r="K451"/>
      <c r="O451"/>
      <c r="P451"/>
    </row>
    <row r="452" spans="1:16" x14ac:dyDescent="0.25">
      <c r="A452"/>
      <c r="B452"/>
      <c r="C452"/>
      <c r="D452"/>
      <c r="E452"/>
      <c r="F452"/>
      <c r="G452"/>
      <c r="H452"/>
      <c r="I452"/>
      <c r="J452"/>
      <c r="K452"/>
      <c r="O452"/>
      <c r="P452"/>
    </row>
    <row r="453" spans="1:16" x14ac:dyDescent="0.25">
      <c r="A453"/>
      <c r="B453"/>
      <c r="C453"/>
      <c r="D453"/>
      <c r="E453"/>
      <c r="F453"/>
      <c r="G453"/>
      <c r="H453"/>
      <c r="I453"/>
      <c r="J453"/>
      <c r="K453"/>
      <c r="O453"/>
      <c r="P453"/>
    </row>
    <row r="454" spans="1:16" x14ac:dyDescent="0.25">
      <c r="A454"/>
      <c r="B454"/>
      <c r="C454"/>
      <c r="D454"/>
      <c r="E454"/>
      <c r="F454"/>
      <c r="G454"/>
      <c r="H454"/>
      <c r="I454"/>
      <c r="J454"/>
      <c r="K454"/>
      <c r="O454"/>
      <c r="P454"/>
    </row>
    <row r="455" spans="1:16" x14ac:dyDescent="0.25">
      <c r="A455"/>
      <c r="B455"/>
      <c r="C455"/>
      <c r="D455"/>
      <c r="E455"/>
      <c r="F455"/>
      <c r="G455"/>
      <c r="H455"/>
      <c r="I455"/>
      <c r="J455"/>
      <c r="K455"/>
      <c r="O455"/>
      <c r="P455"/>
    </row>
    <row r="456" spans="1:16" x14ac:dyDescent="0.25">
      <c r="A456"/>
      <c r="B456"/>
      <c r="C456"/>
      <c r="D456"/>
      <c r="E456"/>
      <c r="F456"/>
      <c r="G456"/>
      <c r="H456"/>
      <c r="I456"/>
      <c r="J456"/>
      <c r="K456"/>
      <c r="O456"/>
      <c r="P456"/>
    </row>
    <row r="457" spans="1:16" x14ac:dyDescent="0.25">
      <c r="A457"/>
      <c r="B457"/>
      <c r="C457"/>
      <c r="D457"/>
      <c r="E457"/>
      <c r="F457"/>
      <c r="G457"/>
      <c r="H457"/>
      <c r="I457"/>
      <c r="J457"/>
      <c r="K457"/>
      <c r="O457"/>
      <c r="P457"/>
    </row>
    <row r="458" spans="1:16" x14ac:dyDescent="0.25">
      <c r="A458"/>
      <c r="B458"/>
      <c r="C458"/>
      <c r="D458"/>
      <c r="E458"/>
      <c r="F458"/>
      <c r="G458"/>
      <c r="H458"/>
      <c r="I458"/>
      <c r="J458"/>
      <c r="K458"/>
      <c r="O458"/>
      <c r="P458"/>
    </row>
    <row r="459" spans="1:16" x14ac:dyDescent="0.25">
      <c r="A459"/>
      <c r="B459"/>
      <c r="C459"/>
      <c r="D459"/>
      <c r="E459"/>
      <c r="F459"/>
      <c r="G459"/>
      <c r="H459"/>
      <c r="I459"/>
      <c r="J459"/>
      <c r="K459"/>
      <c r="O459"/>
      <c r="P459"/>
    </row>
    <row r="460" spans="1:16" x14ac:dyDescent="0.25">
      <c r="A460"/>
      <c r="B460"/>
      <c r="C460"/>
      <c r="D460"/>
      <c r="E460"/>
      <c r="F460"/>
      <c r="G460"/>
      <c r="H460"/>
      <c r="I460"/>
      <c r="J460"/>
      <c r="K460"/>
      <c r="O460"/>
      <c r="P460"/>
    </row>
    <row r="461" spans="1:16" x14ac:dyDescent="0.25">
      <c r="A461"/>
      <c r="B461"/>
      <c r="C461"/>
      <c r="D461"/>
      <c r="E461"/>
      <c r="F461"/>
      <c r="G461"/>
      <c r="H461"/>
      <c r="I461"/>
      <c r="J461"/>
      <c r="K461"/>
      <c r="O461"/>
      <c r="P461"/>
    </row>
    <row r="462" spans="1:16" x14ac:dyDescent="0.25">
      <c r="A462"/>
      <c r="B462"/>
      <c r="C462"/>
      <c r="D462"/>
      <c r="E462"/>
      <c r="F462"/>
      <c r="G462"/>
      <c r="H462"/>
      <c r="I462"/>
      <c r="J462"/>
      <c r="K462"/>
      <c r="O462"/>
      <c r="P462"/>
    </row>
    <row r="463" spans="1:16" x14ac:dyDescent="0.25">
      <c r="A463"/>
      <c r="B463"/>
      <c r="C463"/>
      <c r="D463"/>
      <c r="E463"/>
      <c r="F463"/>
      <c r="G463"/>
      <c r="H463"/>
      <c r="I463"/>
      <c r="J463"/>
      <c r="K463"/>
      <c r="O463"/>
      <c r="P463"/>
    </row>
    <row r="464" spans="1:16" x14ac:dyDescent="0.25">
      <c r="A464"/>
      <c r="B464"/>
      <c r="C464"/>
      <c r="D464"/>
      <c r="E464"/>
      <c r="F464"/>
      <c r="G464"/>
      <c r="H464"/>
      <c r="I464"/>
      <c r="J464"/>
      <c r="K464"/>
      <c r="O464"/>
      <c r="P464"/>
    </row>
    <row r="465" spans="1:16" x14ac:dyDescent="0.25">
      <c r="A465"/>
      <c r="B465"/>
      <c r="C465"/>
      <c r="D465"/>
      <c r="E465"/>
      <c r="F465"/>
      <c r="G465"/>
      <c r="H465"/>
      <c r="I465"/>
      <c r="J465"/>
      <c r="K465"/>
      <c r="O465"/>
      <c r="P465"/>
    </row>
    <row r="466" spans="1:16" x14ac:dyDescent="0.25">
      <c r="A466"/>
      <c r="B466"/>
      <c r="C466"/>
      <c r="D466"/>
      <c r="E466"/>
      <c r="F466"/>
      <c r="G466"/>
      <c r="H466"/>
      <c r="I466"/>
      <c r="J466"/>
      <c r="K466"/>
      <c r="O466"/>
      <c r="P466"/>
    </row>
    <row r="467" spans="1:16" x14ac:dyDescent="0.25">
      <c r="A467"/>
      <c r="B467"/>
      <c r="C467"/>
      <c r="D467"/>
      <c r="E467"/>
      <c r="F467"/>
      <c r="G467"/>
      <c r="H467"/>
      <c r="I467"/>
      <c r="J467"/>
      <c r="K467"/>
      <c r="O467"/>
      <c r="P467"/>
    </row>
    <row r="468" spans="1:16" x14ac:dyDescent="0.25">
      <c r="A468"/>
      <c r="B468"/>
      <c r="C468"/>
      <c r="D468"/>
      <c r="E468"/>
      <c r="F468"/>
      <c r="G468"/>
      <c r="H468"/>
      <c r="I468"/>
      <c r="J468"/>
      <c r="K468"/>
      <c r="O468"/>
      <c r="P468"/>
    </row>
    <row r="469" spans="1:16" x14ac:dyDescent="0.25">
      <c r="A469"/>
      <c r="B469"/>
      <c r="C469"/>
      <c r="D469"/>
      <c r="E469"/>
      <c r="F469"/>
      <c r="G469"/>
      <c r="H469"/>
      <c r="I469"/>
      <c r="J469"/>
      <c r="K469"/>
      <c r="O469"/>
      <c r="P469"/>
    </row>
    <row r="470" spans="1:16" x14ac:dyDescent="0.25">
      <c r="A470"/>
      <c r="B470"/>
      <c r="C470"/>
      <c r="D470"/>
      <c r="E470"/>
      <c r="F470"/>
      <c r="G470"/>
      <c r="H470"/>
      <c r="I470"/>
      <c r="J470"/>
      <c r="K470"/>
      <c r="O470"/>
      <c r="P470"/>
    </row>
    <row r="471" spans="1:16" x14ac:dyDescent="0.25">
      <c r="A471"/>
      <c r="B471"/>
      <c r="C471"/>
      <c r="D471"/>
      <c r="E471"/>
      <c r="F471"/>
      <c r="G471"/>
      <c r="H471"/>
      <c r="I471"/>
      <c r="J471"/>
      <c r="K471"/>
      <c r="O471"/>
      <c r="P471"/>
    </row>
    <row r="472" spans="1:16" x14ac:dyDescent="0.25">
      <c r="A472"/>
      <c r="B472"/>
      <c r="C472"/>
      <c r="D472"/>
      <c r="E472"/>
      <c r="F472"/>
      <c r="G472"/>
      <c r="H472"/>
      <c r="I472"/>
      <c r="J472"/>
      <c r="K472"/>
      <c r="O472"/>
      <c r="P472"/>
    </row>
    <row r="473" spans="1:16" x14ac:dyDescent="0.25">
      <c r="A473"/>
      <c r="B473"/>
      <c r="C473"/>
      <c r="D473"/>
      <c r="E473"/>
      <c r="F473"/>
      <c r="G473"/>
      <c r="H473"/>
      <c r="I473"/>
      <c r="J473"/>
      <c r="K473"/>
      <c r="O473"/>
      <c r="P473"/>
    </row>
    <row r="474" spans="1:16" x14ac:dyDescent="0.25">
      <c r="A474"/>
      <c r="B474"/>
      <c r="C474"/>
      <c r="D474"/>
      <c r="E474"/>
      <c r="F474"/>
      <c r="G474"/>
      <c r="H474"/>
      <c r="I474"/>
      <c r="J474"/>
      <c r="K474"/>
      <c r="O474"/>
      <c r="P474"/>
    </row>
    <row r="475" spans="1:16" x14ac:dyDescent="0.25">
      <c r="A475"/>
      <c r="B475"/>
      <c r="C475"/>
      <c r="D475"/>
      <c r="E475"/>
      <c r="F475"/>
      <c r="G475"/>
      <c r="H475"/>
      <c r="I475"/>
      <c r="J475"/>
      <c r="K475"/>
      <c r="O475"/>
      <c r="P475"/>
    </row>
    <row r="476" spans="1:16" x14ac:dyDescent="0.25">
      <c r="A476"/>
      <c r="B476"/>
      <c r="C476"/>
      <c r="D476"/>
      <c r="E476"/>
      <c r="F476"/>
      <c r="G476"/>
      <c r="H476"/>
      <c r="I476"/>
      <c r="J476"/>
      <c r="K476"/>
      <c r="O476"/>
      <c r="P476"/>
    </row>
    <row r="477" spans="1:16" x14ac:dyDescent="0.25">
      <c r="A477"/>
      <c r="B477"/>
      <c r="C477"/>
      <c r="D477"/>
      <c r="E477"/>
      <c r="F477"/>
      <c r="G477"/>
      <c r="H477"/>
      <c r="I477"/>
      <c r="J477"/>
      <c r="K477"/>
      <c r="O477"/>
      <c r="P477"/>
    </row>
    <row r="478" spans="1:16" x14ac:dyDescent="0.25">
      <c r="A478"/>
      <c r="B478"/>
      <c r="C478"/>
      <c r="D478"/>
      <c r="E478"/>
      <c r="F478"/>
      <c r="G478"/>
      <c r="H478"/>
      <c r="I478"/>
      <c r="J478"/>
      <c r="K478"/>
      <c r="O478"/>
      <c r="P478"/>
    </row>
    <row r="479" spans="1:16" x14ac:dyDescent="0.25">
      <c r="A479"/>
      <c r="B479"/>
      <c r="C479"/>
      <c r="D479"/>
      <c r="E479"/>
      <c r="F479"/>
      <c r="G479"/>
      <c r="H479"/>
      <c r="I479"/>
      <c r="J479"/>
      <c r="K479"/>
      <c r="O479"/>
      <c r="P479"/>
    </row>
    <row r="480" spans="1:16" x14ac:dyDescent="0.25">
      <c r="A480"/>
      <c r="B480"/>
      <c r="C480"/>
      <c r="D480"/>
      <c r="E480"/>
      <c r="F480"/>
      <c r="G480"/>
      <c r="H480"/>
      <c r="I480"/>
      <c r="J480"/>
      <c r="K480"/>
      <c r="O480"/>
      <c r="P480"/>
    </row>
    <row r="481" spans="1:16" x14ac:dyDescent="0.25">
      <c r="A481"/>
      <c r="B481"/>
      <c r="C481"/>
      <c r="D481"/>
      <c r="E481"/>
      <c r="F481"/>
      <c r="G481"/>
      <c r="H481"/>
      <c r="I481"/>
      <c r="J481"/>
      <c r="K481"/>
      <c r="O481"/>
      <c r="P481"/>
    </row>
    <row r="482" spans="1:16" x14ac:dyDescent="0.25">
      <c r="A482"/>
      <c r="B482"/>
      <c r="C482"/>
      <c r="D482"/>
      <c r="E482"/>
      <c r="F482"/>
      <c r="G482"/>
      <c r="H482"/>
      <c r="I482"/>
      <c r="J482"/>
      <c r="K482"/>
      <c r="O482"/>
      <c r="P482"/>
    </row>
    <row r="483" spans="1:16" x14ac:dyDescent="0.25">
      <c r="A483"/>
      <c r="B483"/>
      <c r="C483"/>
      <c r="D483"/>
      <c r="E483"/>
      <c r="F483"/>
      <c r="G483"/>
      <c r="H483"/>
      <c r="I483"/>
      <c r="J483"/>
      <c r="K483"/>
      <c r="O483"/>
      <c r="P483"/>
    </row>
    <row r="484" spans="1:16" x14ac:dyDescent="0.25">
      <c r="A484"/>
      <c r="B484"/>
      <c r="C484"/>
      <c r="D484"/>
      <c r="E484"/>
      <c r="F484"/>
      <c r="G484"/>
      <c r="H484"/>
      <c r="I484"/>
      <c r="J484"/>
      <c r="K484"/>
      <c r="O484"/>
      <c r="P484"/>
    </row>
    <row r="485" spans="1:16" x14ac:dyDescent="0.25">
      <c r="A485"/>
      <c r="B485"/>
      <c r="C485"/>
      <c r="D485"/>
      <c r="E485"/>
      <c r="F485"/>
      <c r="G485"/>
      <c r="H485"/>
      <c r="I485"/>
      <c r="J485"/>
      <c r="K485"/>
      <c r="O485"/>
      <c r="P485"/>
    </row>
    <row r="486" spans="1:16" x14ac:dyDescent="0.25">
      <c r="A486"/>
      <c r="B486"/>
      <c r="C486"/>
      <c r="D486"/>
      <c r="E486"/>
      <c r="F486"/>
      <c r="G486"/>
      <c r="H486"/>
      <c r="I486"/>
      <c r="J486"/>
      <c r="K486"/>
      <c r="O486"/>
      <c r="P486"/>
    </row>
    <row r="487" spans="1:16" x14ac:dyDescent="0.25">
      <c r="A487"/>
      <c r="B487"/>
      <c r="C487"/>
      <c r="D487"/>
      <c r="E487"/>
      <c r="F487"/>
      <c r="G487"/>
      <c r="H487"/>
      <c r="I487"/>
      <c r="J487"/>
      <c r="K487"/>
      <c r="O487"/>
      <c r="P487"/>
    </row>
    <row r="488" spans="1:16" x14ac:dyDescent="0.25">
      <c r="A488"/>
      <c r="B488"/>
      <c r="C488"/>
      <c r="D488"/>
      <c r="E488"/>
      <c r="F488"/>
      <c r="G488"/>
      <c r="H488"/>
      <c r="I488"/>
      <c r="J488"/>
      <c r="K488"/>
      <c r="O488"/>
      <c r="P488"/>
    </row>
    <row r="489" spans="1:16" x14ac:dyDescent="0.25">
      <c r="A489"/>
      <c r="B489"/>
      <c r="C489"/>
      <c r="D489"/>
      <c r="E489"/>
      <c r="F489"/>
      <c r="G489"/>
      <c r="H489"/>
      <c r="I489"/>
      <c r="J489"/>
      <c r="K489"/>
      <c r="O489"/>
      <c r="P489"/>
    </row>
    <row r="490" spans="1:16" x14ac:dyDescent="0.25">
      <c r="A490"/>
      <c r="B490"/>
      <c r="C490"/>
      <c r="D490"/>
      <c r="E490"/>
      <c r="F490"/>
      <c r="G490"/>
      <c r="H490"/>
      <c r="I490"/>
      <c r="J490"/>
      <c r="K490"/>
      <c r="O490"/>
      <c r="P490"/>
    </row>
    <row r="491" spans="1:16" x14ac:dyDescent="0.25">
      <c r="A491"/>
      <c r="B491"/>
      <c r="C491"/>
      <c r="D491"/>
      <c r="E491"/>
      <c r="F491"/>
      <c r="G491"/>
      <c r="H491"/>
      <c r="I491"/>
      <c r="J491"/>
      <c r="K491"/>
      <c r="O491"/>
      <c r="P491"/>
    </row>
    <row r="492" spans="1:16" x14ac:dyDescent="0.25">
      <c r="A492"/>
      <c r="B492"/>
      <c r="C492"/>
      <c r="D492"/>
      <c r="E492"/>
      <c r="F492"/>
      <c r="G492"/>
      <c r="H492"/>
      <c r="I492"/>
      <c r="J492"/>
      <c r="K492"/>
      <c r="O492"/>
      <c r="P492"/>
    </row>
    <row r="493" spans="1:16" x14ac:dyDescent="0.25">
      <c r="A493"/>
      <c r="B493"/>
      <c r="C493"/>
      <c r="D493"/>
      <c r="E493"/>
      <c r="F493"/>
      <c r="G493"/>
      <c r="H493"/>
      <c r="I493"/>
      <c r="J493"/>
      <c r="K493"/>
      <c r="O493"/>
      <c r="P493"/>
    </row>
    <row r="494" spans="1:16" x14ac:dyDescent="0.25">
      <c r="A494"/>
      <c r="B494"/>
      <c r="C494"/>
      <c r="D494"/>
      <c r="E494"/>
      <c r="F494"/>
      <c r="G494"/>
      <c r="H494"/>
      <c r="I494"/>
      <c r="J494"/>
      <c r="K494"/>
      <c r="O494"/>
      <c r="P494"/>
    </row>
    <row r="495" spans="1:16" x14ac:dyDescent="0.25">
      <c r="A495"/>
      <c r="B495"/>
      <c r="C495"/>
      <c r="D495"/>
      <c r="E495"/>
      <c r="F495"/>
      <c r="G495"/>
      <c r="H495"/>
      <c r="I495"/>
      <c r="J495"/>
      <c r="K495"/>
      <c r="O495"/>
      <c r="P495"/>
    </row>
    <row r="496" spans="1:16" x14ac:dyDescent="0.25">
      <c r="A496"/>
      <c r="B496"/>
      <c r="C496"/>
      <c r="D496"/>
      <c r="E496"/>
      <c r="F496"/>
      <c r="G496"/>
      <c r="H496"/>
      <c r="I496"/>
      <c r="J496"/>
      <c r="K496"/>
      <c r="O496"/>
      <c r="P496"/>
    </row>
    <row r="497" spans="1:16" x14ac:dyDescent="0.25">
      <c r="A497"/>
      <c r="B497"/>
      <c r="C497"/>
      <c r="D497"/>
      <c r="E497"/>
      <c r="F497"/>
      <c r="G497"/>
      <c r="H497"/>
      <c r="I497"/>
      <c r="J497"/>
      <c r="K497"/>
      <c r="O497"/>
      <c r="P497"/>
    </row>
    <row r="498" spans="1:16" x14ac:dyDescent="0.25">
      <c r="A498"/>
      <c r="B498"/>
      <c r="C498"/>
      <c r="D498"/>
      <c r="E498"/>
      <c r="F498"/>
      <c r="G498"/>
      <c r="H498"/>
      <c r="I498"/>
      <c r="J498"/>
      <c r="K498"/>
      <c r="O498"/>
      <c r="P498"/>
    </row>
    <row r="499" spans="1:16" x14ac:dyDescent="0.25">
      <c r="A499"/>
      <c r="B499"/>
      <c r="C499"/>
      <c r="D499"/>
      <c r="E499"/>
      <c r="F499"/>
      <c r="G499"/>
      <c r="H499"/>
      <c r="I499"/>
      <c r="J499"/>
      <c r="K499"/>
      <c r="O499"/>
      <c r="P499"/>
    </row>
    <row r="500" spans="1:16" x14ac:dyDescent="0.25">
      <c r="A500"/>
      <c r="B500"/>
      <c r="C500"/>
      <c r="D500"/>
      <c r="E500"/>
      <c r="F500"/>
      <c r="G500"/>
      <c r="H500"/>
      <c r="I500"/>
      <c r="J500"/>
      <c r="K500"/>
      <c r="O500"/>
      <c r="P500"/>
    </row>
    <row r="501" spans="1:16" x14ac:dyDescent="0.25">
      <c r="A501"/>
      <c r="B501"/>
      <c r="C501"/>
      <c r="D501"/>
      <c r="E501"/>
      <c r="F501"/>
      <c r="G501"/>
      <c r="H501"/>
      <c r="I501"/>
      <c r="J501"/>
      <c r="K501"/>
      <c r="O501"/>
      <c r="P501"/>
    </row>
    <row r="502" spans="1:16" x14ac:dyDescent="0.25">
      <c r="A502"/>
      <c r="B502"/>
      <c r="C502"/>
      <c r="D502"/>
      <c r="E502"/>
      <c r="F502"/>
      <c r="G502"/>
      <c r="H502"/>
      <c r="I502"/>
      <c r="J502"/>
      <c r="K502"/>
      <c r="O502"/>
      <c r="P502"/>
    </row>
    <row r="503" spans="1:16" x14ac:dyDescent="0.25">
      <c r="A503"/>
      <c r="B503"/>
      <c r="C503"/>
      <c r="D503"/>
      <c r="E503"/>
      <c r="F503"/>
      <c r="G503"/>
      <c r="H503"/>
      <c r="I503"/>
      <c r="J503"/>
      <c r="K503"/>
      <c r="O503"/>
      <c r="P503"/>
    </row>
    <row r="504" spans="1:16" x14ac:dyDescent="0.25">
      <c r="A504"/>
      <c r="B504"/>
      <c r="C504"/>
      <c r="D504"/>
      <c r="E504"/>
      <c r="F504"/>
      <c r="G504"/>
      <c r="H504"/>
      <c r="I504"/>
      <c r="J504"/>
      <c r="K504"/>
      <c r="O504"/>
      <c r="P504"/>
    </row>
    <row r="505" spans="1:16" x14ac:dyDescent="0.25">
      <c r="A505"/>
      <c r="B505"/>
      <c r="C505"/>
      <c r="D505"/>
      <c r="E505"/>
      <c r="F505"/>
      <c r="G505"/>
      <c r="H505"/>
      <c r="I505"/>
      <c r="J505"/>
      <c r="K505"/>
      <c r="O505"/>
      <c r="P505"/>
    </row>
    <row r="506" spans="1:16" x14ac:dyDescent="0.25">
      <c r="A506"/>
      <c r="B506"/>
      <c r="C506"/>
      <c r="D506"/>
      <c r="E506"/>
      <c r="F506"/>
      <c r="G506"/>
      <c r="H506"/>
      <c r="I506"/>
      <c r="J506"/>
      <c r="K506"/>
      <c r="O506"/>
      <c r="P506"/>
    </row>
    <row r="507" spans="1:16" x14ac:dyDescent="0.25">
      <c r="A507"/>
      <c r="B507"/>
      <c r="C507"/>
      <c r="D507"/>
      <c r="E507"/>
      <c r="F507"/>
      <c r="G507"/>
      <c r="H507"/>
      <c r="I507"/>
      <c r="J507"/>
      <c r="K507"/>
      <c r="O507"/>
      <c r="P507"/>
    </row>
    <row r="508" spans="1:16" x14ac:dyDescent="0.25">
      <c r="A508"/>
      <c r="B508"/>
      <c r="C508"/>
      <c r="D508"/>
      <c r="E508"/>
      <c r="F508"/>
      <c r="G508"/>
      <c r="H508"/>
      <c r="I508"/>
      <c r="J508"/>
      <c r="K508"/>
      <c r="O508"/>
      <c r="P508"/>
    </row>
    <row r="509" spans="1:16" x14ac:dyDescent="0.25">
      <c r="A509"/>
      <c r="B509"/>
      <c r="C509"/>
      <c r="D509"/>
      <c r="E509"/>
      <c r="F509"/>
      <c r="G509"/>
      <c r="H509"/>
      <c r="I509"/>
      <c r="J509"/>
      <c r="K509"/>
      <c r="O509"/>
      <c r="P509"/>
    </row>
    <row r="510" spans="1:16" x14ac:dyDescent="0.25">
      <c r="A510"/>
      <c r="B510"/>
      <c r="C510"/>
      <c r="D510"/>
      <c r="E510"/>
      <c r="F510"/>
      <c r="G510"/>
      <c r="H510"/>
      <c r="I510"/>
      <c r="J510"/>
      <c r="K510"/>
      <c r="O510"/>
      <c r="P510"/>
    </row>
    <row r="511" spans="1:16" x14ac:dyDescent="0.25">
      <c r="A511"/>
      <c r="B511"/>
      <c r="C511"/>
      <c r="D511"/>
      <c r="E511"/>
      <c r="F511"/>
      <c r="G511"/>
      <c r="H511"/>
      <c r="I511"/>
      <c r="J511"/>
      <c r="K511"/>
      <c r="O511"/>
      <c r="P511"/>
    </row>
    <row r="512" spans="1:16" x14ac:dyDescent="0.25">
      <c r="A512"/>
      <c r="B512"/>
      <c r="C512"/>
      <c r="D512"/>
      <c r="E512"/>
      <c r="F512"/>
      <c r="G512"/>
      <c r="H512"/>
      <c r="I512"/>
      <c r="J512"/>
      <c r="K512"/>
      <c r="O512"/>
      <c r="P512"/>
    </row>
    <row r="513" spans="1:16" x14ac:dyDescent="0.25">
      <c r="A513"/>
      <c r="B513"/>
      <c r="C513"/>
      <c r="D513"/>
      <c r="E513"/>
      <c r="F513"/>
      <c r="G513"/>
      <c r="H513"/>
      <c r="I513"/>
      <c r="J513"/>
      <c r="K513"/>
      <c r="O513"/>
      <c r="P513"/>
    </row>
    <row r="514" spans="1:16" x14ac:dyDescent="0.25">
      <c r="A514"/>
      <c r="B514"/>
      <c r="C514"/>
      <c r="D514"/>
      <c r="E514"/>
      <c r="F514"/>
      <c r="G514"/>
      <c r="H514"/>
      <c r="I514"/>
      <c r="J514"/>
      <c r="K514"/>
      <c r="O514"/>
      <c r="P514"/>
    </row>
    <row r="515" spans="1:16" x14ac:dyDescent="0.25">
      <c r="A515"/>
      <c r="B515"/>
      <c r="C515"/>
      <c r="D515"/>
      <c r="E515"/>
      <c r="F515"/>
      <c r="G515"/>
      <c r="H515"/>
      <c r="I515"/>
      <c r="J515"/>
      <c r="K515"/>
      <c r="O515"/>
      <c r="P515"/>
    </row>
    <row r="516" spans="1:16" x14ac:dyDescent="0.25">
      <c r="A516"/>
      <c r="B516"/>
      <c r="C516"/>
      <c r="D516"/>
      <c r="E516"/>
      <c r="F516"/>
      <c r="G516"/>
      <c r="H516"/>
      <c r="I516"/>
      <c r="J516"/>
      <c r="K516"/>
      <c r="O516"/>
      <c r="P516"/>
    </row>
    <row r="517" spans="1:16" x14ac:dyDescent="0.25">
      <c r="A517"/>
      <c r="B517"/>
      <c r="C517"/>
      <c r="D517"/>
      <c r="E517"/>
      <c r="F517"/>
      <c r="G517"/>
      <c r="H517"/>
      <c r="I517"/>
      <c r="J517"/>
      <c r="K517"/>
      <c r="O517"/>
      <c r="P517"/>
    </row>
    <row r="518" spans="1:16" x14ac:dyDescent="0.25">
      <c r="A518"/>
      <c r="B518"/>
      <c r="C518"/>
      <c r="D518"/>
      <c r="E518"/>
      <c r="F518"/>
      <c r="G518"/>
      <c r="H518"/>
      <c r="I518"/>
      <c r="J518"/>
      <c r="K518"/>
      <c r="O518"/>
      <c r="P518"/>
    </row>
    <row r="519" spans="1:16" x14ac:dyDescent="0.25">
      <c r="A519"/>
      <c r="B519"/>
      <c r="C519"/>
      <c r="D519"/>
      <c r="E519"/>
      <c r="F519"/>
      <c r="G519"/>
      <c r="H519"/>
      <c r="I519"/>
      <c r="J519"/>
      <c r="K519"/>
      <c r="O519"/>
      <c r="P519"/>
    </row>
    <row r="520" spans="1:16" x14ac:dyDescent="0.25">
      <c r="A520"/>
      <c r="B520"/>
      <c r="C520"/>
      <c r="D520"/>
      <c r="E520"/>
      <c r="F520"/>
      <c r="G520"/>
      <c r="H520"/>
      <c r="I520"/>
      <c r="J520"/>
      <c r="K520"/>
      <c r="O520"/>
      <c r="P520"/>
    </row>
    <row r="521" spans="1:16" x14ac:dyDescent="0.25">
      <c r="A521"/>
      <c r="B521"/>
      <c r="C521"/>
      <c r="D521"/>
      <c r="E521"/>
      <c r="F521"/>
      <c r="G521"/>
      <c r="H521"/>
      <c r="I521"/>
      <c r="J521"/>
      <c r="K521"/>
      <c r="O521"/>
      <c r="P521"/>
    </row>
    <row r="522" spans="1:16" x14ac:dyDescent="0.25">
      <c r="A522"/>
      <c r="B522"/>
      <c r="C522"/>
      <c r="D522"/>
      <c r="E522"/>
      <c r="F522"/>
      <c r="G522"/>
      <c r="H522"/>
      <c r="I522"/>
      <c r="J522"/>
      <c r="K522"/>
      <c r="O522"/>
      <c r="P522"/>
    </row>
    <row r="523" spans="1:16" x14ac:dyDescent="0.25">
      <c r="A523"/>
      <c r="B523"/>
      <c r="C523"/>
      <c r="D523"/>
      <c r="E523"/>
      <c r="F523"/>
      <c r="G523"/>
      <c r="H523"/>
      <c r="I523"/>
      <c r="J523"/>
      <c r="K523"/>
      <c r="O523"/>
      <c r="P523"/>
    </row>
    <row r="524" spans="1:16" x14ac:dyDescent="0.25">
      <c r="A524"/>
      <c r="B524"/>
      <c r="C524"/>
      <c r="D524"/>
      <c r="E524"/>
      <c r="F524"/>
      <c r="G524"/>
      <c r="H524"/>
      <c r="I524"/>
      <c r="J524"/>
      <c r="K524"/>
      <c r="O524"/>
      <c r="P524"/>
    </row>
    <row r="525" spans="1:16" x14ac:dyDescent="0.25">
      <c r="A525"/>
      <c r="B525"/>
      <c r="C525"/>
      <c r="D525"/>
      <c r="E525"/>
      <c r="F525"/>
      <c r="G525"/>
      <c r="H525"/>
      <c r="I525"/>
      <c r="J525"/>
      <c r="K525"/>
      <c r="O525"/>
      <c r="P525"/>
    </row>
    <row r="526" spans="1:16" x14ac:dyDescent="0.25">
      <c r="A526"/>
      <c r="B526"/>
      <c r="C526"/>
      <c r="D526"/>
      <c r="E526"/>
      <c r="F526"/>
      <c r="G526"/>
      <c r="H526"/>
      <c r="I526"/>
      <c r="J526"/>
      <c r="K526"/>
      <c r="O526"/>
      <c r="P526"/>
    </row>
    <row r="527" spans="1:16" x14ac:dyDescent="0.25">
      <c r="A527"/>
      <c r="B527"/>
      <c r="C527"/>
      <c r="D527"/>
      <c r="E527"/>
      <c r="F527"/>
      <c r="G527"/>
      <c r="H527"/>
      <c r="I527"/>
      <c r="J527"/>
      <c r="K527"/>
      <c r="O527"/>
      <c r="P527"/>
    </row>
    <row r="528" spans="1:16" x14ac:dyDescent="0.25">
      <c r="A528"/>
      <c r="B528"/>
      <c r="C528"/>
      <c r="D528"/>
      <c r="E528"/>
      <c r="F528"/>
      <c r="G528"/>
      <c r="H528"/>
      <c r="I528"/>
      <c r="J528"/>
      <c r="K528"/>
      <c r="O528"/>
      <c r="P528"/>
    </row>
    <row r="529" spans="1:16" x14ac:dyDescent="0.25">
      <c r="A529"/>
      <c r="B529"/>
      <c r="C529"/>
      <c r="D529"/>
      <c r="E529"/>
      <c r="F529"/>
      <c r="G529"/>
      <c r="H529"/>
      <c r="I529"/>
      <c r="J529"/>
      <c r="K529"/>
      <c r="O529"/>
      <c r="P529"/>
    </row>
    <row r="530" spans="1:16" x14ac:dyDescent="0.25">
      <c r="A530"/>
      <c r="B530"/>
      <c r="C530"/>
      <c r="D530"/>
      <c r="E530"/>
      <c r="F530"/>
      <c r="G530"/>
      <c r="H530"/>
      <c r="I530"/>
      <c r="J530"/>
      <c r="K530"/>
      <c r="O530"/>
      <c r="P530"/>
    </row>
    <row r="531" spans="1:16" x14ac:dyDescent="0.25">
      <c r="A531"/>
      <c r="B531"/>
      <c r="C531"/>
      <c r="D531"/>
      <c r="E531"/>
      <c r="F531"/>
      <c r="G531"/>
      <c r="H531"/>
      <c r="I531"/>
      <c r="J531"/>
      <c r="K531"/>
      <c r="O531"/>
      <c r="P531"/>
    </row>
    <row r="532" spans="1:16" x14ac:dyDescent="0.25">
      <c r="A532"/>
      <c r="B532"/>
      <c r="C532"/>
      <c r="D532"/>
      <c r="E532"/>
      <c r="F532"/>
      <c r="G532"/>
      <c r="H532"/>
      <c r="I532"/>
      <c r="J532"/>
      <c r="K532"/>
      <c r="O532"/>
      <c r="P532"/>
    </row>
    <row r="533" spans="1:16" x14ac:dyDescent="0.25">
      <c r="A533"/>
      <c r="B533"/>
      <c r="C533"/>
      <c r="D533"/>
      <c r="E533"/>
      <c r="F533"/>
      <c r="G533"/>
      <c r="H533"/>
      <c r="I533"/>
      <c r="J533"/>
      <c r="K533"/>
      <c r="O533"/>
      <c r="P533"/>
    </row>
    <row r="534" spans="1:16" x14ac:dyDescent="0.25">
      <c r="A534"/>
      <c r="B534"/>
      <c r="C534"/>
      <c r="D534"/>
      <c r="E534"/>
      <c r="F534"/>
      <c r="G534"/>
      <c r="H534"/>
      <c r="I534"/>
      <c r="J534"/>
      <c r="K534"/>
      <c r="O534"/>
      <c r="P534"/>
    </row>
    <row r="535" spans="1:16" x14ac:dyDescent="0.25">
      <c r="A535"/>
      <c r="B535"/>
      <c r="C535"/>
      <c r="D535"/>
      <c r="E535"/>
      <c r="F535"/>
      <c r="G535"/>
      <c r="H535"/>
      <c r="I535"/>
      <c r="J535"/>
      <c r="K535"/>
      <c r="O535"/>
      <c r="P535"/>
    </row>
    <row r="536" spans="1:16" x14ac:dyDescent="0.25">
      <c r="A536"/>
      <c r="B536"/>
      <c r="C536"/>
      <c r="D536"/>
      <c r="E536"/>
      <c r="F536"/>
      <c r="G536"/>
      <c r="H536"/>
      <c r="I536"/>
      <c r="J536"/>
      <c r="K536"/>
      <c r="O536"/>
      <c r="P536"/>
    </row>
    <row r="537" spans="1:16" x14ac:dyDescent="0.25">
      <c r="A537"/>
      <c r="B537"/>
      <c r="C537"/>
      <c r="D537"/>
      <c r="E537"/>
      <c r="F537"/>
      <c r="G537"/>
      <c r="H537"/>
      <c r="I537"/>
      <c r="J537"/>
      <c r="K537"/>
      <c r="O537"/>
      <c r="P537"/>
    </row>
    <row r="538" spans="1:16" x14ac:dyDescent="0.25">
      <c r="A538"/>
      <c r="B538"/>
      <c r="C538"/>
      <c r="D538"/>
      <c r="E538"/>
      <c r="F538"/>
      <c r="G538"/>
      <c r="H538"/>
      <c r="I538"/>
      <c r="J538"/>
      <c r="K538"/>
      <c r="O538"/>
      <c r="P538"/>
    </row>
    <row r="539" spans="1:16" x14ac:dyDescent="0.25">
      <c r="A539"/>
      <c r="B539"/>
      <c r="C539"/>
      <c r="D539"/>
      <c r="E539"/>
      <c r="F539"/>
      <c r="G539"/>
      <c r="H539"/>
      <c r="I539"/>
      <c r="J539"/>
      <c r="K539"/>
      <c r="O539"/>
      <c r="P539"/>
    </row>
    <row r="540" spans="1:16" x14ac:dyDescent="0.25">
      <c r="A540"/>
      <c r="B540"/>
      <c r="C540"/>
      <c r="D540"/>
      <c r="E540"/>
      <c r="F540"/>
      <c r="G540"/>
      <c r="H540"/>
      <c r="I540"/>
      <c r="J540"/>
      <c r="K540"/>
      <c r="O540"/>
      <c r="P540"/>
    </row>
    <row r="541" spans="1:16" x14ac:dyDescent="0.25">
      <c r="A541"/>
      <c r="B541"/>
      <c r="C541"/>
      <c r="D541"/>
      <c r="E541"/>
      <c r="F541"/>
      <c r="G541"/>
      <c r="H541"/>
      <c r="I541"/>
      <c r="J541"/>
      <c r="K541"/>
      <c r="O541"/>
      <c r="P541"/>
    </row>
    <row r="542" spans="1:16" x14ac:dyDescent="0.25">
      <c r="A542"/>
      <c r="B542"/>
      <c r="C542"/>
      <c r="D542"/>
      <c r="E542"/>
      <c r="F542"/>
      <c r="G542"/>
      <c r="H542"/>
      <c r="I542"/>
      <c r="J542"/>
      <c r="K542"/>
      <c r="O542"/>
      <c r="P542"/>
    </row>
    <row r="543" spans="1:16" x14ac:dyDescent="0.25">
      <c r="A543"/>
      <c r="B543"/>
      <c r="C543"/>
      <c r="D543"/>
      <c r="E543"/>
      <c r="F543"/>
      <c r="G543"/>
      <c r="H543"/>
      <c r="I543"/>
      <c r="J543"/>
      <c r="K543"/>
      <c r="O543"/>
      <c r="P543"/>
    </row>
    <row r="544" spans="1:16" x14ac:dyDescent="0.25">
      <c r="A544"/>
      <c r="B544"/>
      <c r="C544"/>
      <c r="D544"/>
      <c r="E544"/>
      <c r="F544"/>
      <c r="G544"/>
      <c r="H544"/>
      <c r="I544"/>
      <c r="J544"/>
      <c r="K544"/>
      <c r="O544"/>
      <c r="P544"/>
    </row>
    <row r="545" spans="1:16" x14ac:dyDescent="0.25">
      <c r="A545"/>
      <c r="B545"/>
      <c r="C545"/>
      <c r="D545"/>
      <c r="E545"/>
      <c r="F545"/>
      <c r="G545"/>
      <c r="H545"/>
      <c r="I545"/>
      <c r="J545"/>
      <c r="K545"/>
      <c r="O545"/>
      <c r="P545"/>
    </row>
    <row r="546" spans="1:16" x14ac:dyDescent="0.25">
      <c r="A546"/>
      <c r="B546"/>
      <c r="C546"/>
      <c r="D546"/>
      <c r="E546"/>
      <c r="F546"/>
      <c r="G546"/>
      <c r="H546"/>
      <c r="I546"/>
      <c r="J546"/>
      <c r="K546"/>
      <c r="O546"/>
      <c r="P546"/>
    </row>
    <row r="547" spans="1:16" x14ac:dyDescent="0.25">
      <c r="A547"/>
      <c r="B547"/>
      <c r="C547"/>
      <c r="D547"/>
      <c r="E547"/>
      <c r="F547"/>
      <c r="G547"/>
      <c r="H547"/>
      <c r="I547"/>
      <c r="J547"/>
      <c r="K547"/>
      <c r="O547"/>
      <c r="P547"/>
    </row>
    <row r="548" spans="1:16" x14ac:dyDescent="0.25">
      <c r="A548"/>
      <c r="B548"/>
      <c r="C548"/>
      <c r="D548"/>
      <c r="E548"/>
      <c r="F548"/>
      <c r="G548"/>
      <c r="H548"/>
      <c r="I548"/>
      <c r="J548"/>
      <c r="K548"/>
      <c r="O548"/>
      <c r="P548"/>
    </row>
    <row r="549" spans="1:16" x14ac:dyDescent="0.25">
      <c r="A549"/>
      <c r="B549"/>
      <c r="C549"/>
      <c r="D549"/>
      <c r="E549"/>
      <c r="F549"/>
      <c r="G549"/>
      <c r="H549"/>
      <c r="I549"/>
      <c r="J549"/>
      <c r="K549"/>
      <c r="O549"/>
      <c r="P549"/>
    </row>
    <row r="550" spans="1:16" x14ac:dyDescent="0.25">
      <c r="A550"/>
      <c r="B550"/>
      <c r="C550"/>
      <c r="D550"/>
      <c r="E550"/>
      <c r="F550"/>
      <c r="G550"/>
      <c r="H550"/>
      <c r="I550"/>
      <c r="J550"/>
      <c r="K550"/>
      <c r="O550"/>
      <c r="P550"/>
    </row>
    <row r="551" spans="1:16" x14ac:dyDescent="0.25">
      <c r="A551"/>
      <c r="B551"/>
      <c r="C551"/>
      <c r="D551"/>
      <c r="E551"/>
      <c r="F551"/>
      <c r="G551"/>
      <c r="H551"/>
      <c r="I551"/>
      <c r="J551"/>
      <c r="K551"/>
      <c r="O551"/>
      <c r="P551"/>
    </row>
    <row r="552" spans="1:16" x14ac:dyDescent="0.25">
      <c r="A552"/>
      <c r="B552"/>
      <c r="C552"/>
      <c r="D552"/>
      <c r="E552"/>
      <c r="F552"/>
      <c r="G552"/>
      <c r="H552"/>
      <c r="I552"/>
      <c r="J552"/>
      <c r="K552"/>
      <c r="O552"/>
      <c r="P552"/>
    </row>
    <row r="553" spans="1:16" x14ac:dyDescent="0.25">
      <c r="A553"/>
      <c r="B553"/>
      <c r="C553"/>
      <c r="D553"/>
      <c r="E553"/>
      <c r="F553"/>
      <c r="G553"/>
      <c r="H553"/>
      <c r="I553"/>
      <c r="J553"/>
      <c r="K553"/>
      <c r="O553"/>
      <c r="P553"/>
    </row>
    <row r="554" spans="1:16" x14ac:dyDescent="0.25">
      <c r="A554"/>
      <c r="B554"/>
      <c r="C554"/>
      <c r="D554"/>
      <c r="E554"/>
      <c r="F554"/>
      <c r="G554"/>
      <c r="H554"/>
      <c r="I554"/>
      <c r="J554"/>
      <c r="K554"/>
      <c r="O554"/>
      <c r="P554"/>
    </row>
    <row r="555" spans="1:16" x14ac:dyDescent="0.25">
      <c r="A555"/>
      <c r="B555"/>
      <c r="C555"/>
      <c r="D555"/>
      <c r="E555"/>
      <c r="F555"/>
      <c r="G555"/>
      <c r="H555"/>
      <c r="I555"/>
      <c r="J555"/>
      <c r="K555"/>
      <c r="O555"/>
      <c r="P555"/>
    </row>
    <row r="556" spans="1:16" x14ac:dyDescent="0.25">
      <c r="A556"/>
      <c r="B556"/>
      <c r="C556"/>
      <c r="D556"/>
      <c r="E556"/>
      <c r="F556"/>
      <c r="G556"/>
      <c r="H556"/>
      <c r="I556"/>
      <c r="J556"/>
      <c r="K556"/>
      <c r="O556"/>
      <c r="P556"/>
    </row>
    <row r="557" spans="1:16" x14ac:dyDescent="0.25">
      <c r="A557"/>
      <c r="B557"/>
      <c r="C557"/>
      <c r="D557"/>
      <c r="E557"/>
      <c r="F557"/>
      <c r="G557"/>
      <c r="H557"/>
      <c r="I557"/>
      <c r="J557"/>
      <c r="K557"/>
      <c r="O557"/>
      <c r="P557"/>
    </row>
    <row r="558" spans="1:16" x14ac:dyDescent="0.25">
      <c r="A558"/>
      <c r="B558"/>
      <c r="C558"/>
      <c r="D558"/>
      <c r="E558"/>
      <c r="F558"/>
      <c r="G558"/>
      <c r="H558"/>
      <c r="I558"/>
      <c r="J558"/>
      <c r="K558"/>
      <c r="O558"/>
      <c r="P558"/>
    </row>
    <row r="559" spans="1:16" x14ac:dyDescent="0.25">
      <c r="A559"/>
      <c r="B559"/>
      <c r="C559"/>
      <c r="D559"/>
      <c r="E559"/>
      <c r="F559"/>
      <c r="G559"/>
      <c r="H559"/>
      <c r="I559"/>
      <c r="J559"/>
      <c r="K559"/>
      <c r="O559"/>
      <c r="P559"/>
    </row>
    <row r="560" spans="1:16" x14ac:dyDescent="0.25">
      <c r="A560"/>
      <c r="B560"/>
      <c r="C560"/>
      <c r="D560"/>
      <c r="E560"/>
      <c r="F560"/>
      <c r="G560"/>
      <c r="H560"/>
      <c r="I560"/>
      <c r="J560"/>
      <c r="K560"/>
      <c r="O560"/>
      <c r="P560"/>
    </row>
    <row r="561" spans="1:16" x14ac:dyDescent="0.25">
      <c r="A561"/>
      <c r="B561"/>
      <c r="C561"/>
      <c r="D561"/>
      <c r="E561"/>
      <c r="F561"/>
      <c r="G561"/>
      <c r="H561"/>
      <c r="I561"/>
      <c r="J561"/>
      <c r="K561"/>
      <c r="O561"/>
      <c r="P561"/>
    </row>
    <row r="562" spans="1:16" x14ac:dyDescent="0.25">
      <c r="A562"/>
      <c r="B562"/>
      <c r="C562"/>
      <c r="D562"/>
      <c r="E562"/>
      <c r="F562"/>
      <c r="G562"/>
      <c r="H562"/>
      <c r="I562"/>
      <c r="J562"/>
      <c r="K562"/>
      <c r="O562"/>
      <c r="P562"/>
    </row>
    <row r="563" spans="1:16" x14ac:dyDescent="0.25">
      <c r="A563"/>
      <c r="B563"/>
      <c r="C563"/>
      <c r="D563"/>
      <c r="E563"/>
      <c r="F563"/>
      <c r="G563"/>
      <c r="H563"/>
      <c r="I563"/>
      <c r="J563"/>
      <c r="K563"/>
      <c r="O563"/>
      <c r="P563"/>
    </row>
    <row r="564" spans="1:16" x14ac:dyDescent="0.25">
      <c r="A564"/>
      <c r="B564"/>
      <c r="C564"/>
      <c r="D564"/>
      <c r="E564"/>
      <c r="F564"/>
      <c r="G564"/>
      <c r="H564"/>
      <c r="I564"/>
      <c r="J564"/>
      <c r="K564"/>
      <c r="O564"/>
      <c r="P564"/>
    </row>
    <row r="565" spans="1:16" x14ac:dyDescent="0.25">
      <c r="A565"/>
      <c r="B565"/>
      <c r="C565"/>
      <c r="D565"/>
      <c r="E565"/>
      <c r="F565"/>
      <c r="G565"/>
      <c r="H565"/>
      <c r="I565"/>
      <c r="J565"/>
      <c r="K565"/>
      <c r="O565"/>
      <c r="P565"/>
    </row>
    <row r="566" spans="1:16" x14ac:dyDescent="0.25">
      <c r="A566"/>
      <c r="B566"/>
      <c r="C566"/>
      <c r="D566"/>
      <c r="E566"/>
      <c r="F566"/>
      <c r="G566"/>
      <c r="H566"/>
      <c r="I566"/>
      <c r="J566"/>
      <c r="K566"/>
      <c r="O566"/>
      <c r="P566"/>
    </row>
    <row r="567" spans="1:16" x14ac:dyDescent="0.25">
      <c r="A567"/>
      <c r="B567"/>
      <c r="C567"/>
      <c r="D567"/>
      <c r="E567"/>
      <c r="F567"/>
      <c r="G567"/>
      <c r="H567"/>
      <c r="I567"/>
      <c r="J567"/>
      <c r="K567"/>
      <c r="O567"/>
      <c r="P567"/>
    </row>
    <row r="568" spans="1:16" x14ac:dyDescent="0.25">
      <c r="A568"/>
      <c r="B568"/>
      <c r="C568"/>
      <c r="D568"/>
      <c r="E568"/>
      <c r="F568"/>
      <c r="G568"/>
      <c r="H568"/>
      <c r="I568"/>
      <c r="J568"/>
      <c r="K568"/>
      <c r="O568"/>
      <c r="P568"/>
    </row>
    <row r="569" spans="1:16" x14ac:dyDescent="0.25">
      <c r="A569"/>
      <c r="B569"/>
      <c r="C569"/>
      <c r="D569"/>
      <c r="E569"/>
      <c r="F569"/>
      <c r="G569"/>
      <c r="H569"/>
      <c r="I569"/>
      <c r="J569"/>
      <c r="K569"/>
      <c r="O569"/>
      <c r="P569"/>
    </row>
    <row r="570" spans="1:16" x14ac:dyDescent="0.25">
      <c r="A570"/>
      <c r="B570"/>
      <c r="C570"/>
      <c r="D570"/>
      <c r="E570"/>
      <c r="F570"/>
      <c r="G570"/>
      <c r="H570"/>
      <c r="I570"/>
      <c r="J570"/>
      <c r="K570"/>
      <c r="O570"/>
      <c r="P570"/>
    </row>
    <row r="571" spans="1:16" x14ac:dyDescent="0.25">
      <c r="A571"/>
      <c r="B571"/>
      <c r="C571"/>
      <c r="D571"/>
      <c r="E571"/>
      <c r="F571"/>
      <c r="G571"/>
      <c r="H571"/>
      <c r="I571"/>
      <c r="J571"/>
      <c r="K571"/>
      <c r="O571"/>
      <c r="P571"/>
    </row>
    <row r="572" spans="1:16" x14ac:dyDescent="0.25">
      <c r="A572"/>
      <c r="B572"/>
      <c r="C572"/>
      <c r="D572"/>
      <c r="E572"/>
      <c r="F572"/>
      <c r="G572"/>
      <c r="H572"/>
      <c r="I572"/>
      <c r="J572"/>
      <c r="K572"/>
      <c r="O572"/>
      <c r="P572"/>
    </row>
    <row r="573" spans="1:16" x14ac:dyDescent="0.25">
      <c r="A573"/>
      <c r="B573"/>
      <c r="C573"/>
      <c r="D573"/>
      <c r="E573"/>
      <c r="F573"/>
      <c r="G573"/>
      <c r="H573"/>
      <c r="I573"/>
      <c r="J573"/>
      <c r="K573"/>
      <c r="O573"/>
      <c r="P573"/>
    </row>
    <row r="574" spans="1:16" x14ac:dyDescent="0.25">
      <c r="A574"/>
      <c r="B574"/>
      <c r="C574"/>
      <c r="D574"/>
      <c r="E574"/>
      <c r="F574"/>
      <c r="G574"/>
      <c r="H574"/>
      <c r="I574"/>
      <c r="J574"/>
      <c r="K574"/>
      <c r="O574"/>
      <c r="P574"/>
    </row>
    <row r="575" spans="1:16" x14ac:dyDescent="0.25">
      <c r="A575"/>
      <c r="B575"/>
      <c r="C575"/>
      <c r="D575"/>
      <c r="E575"/>
      <c r="F575"/>
      <c r="G575"/>
      <c r="H575"/>
      <c r="I575"/>
      <c r="J575"/>
      <c r="K575"/>
      <c r="O575"/>
      <c r="P575"/>
    </row>
    <row r="576" spans="1:16" x14ac:dyDescent="0.25">
      <c r="A576"/>
      <c r="B576"/>
      <c r="C576"/>
      <c r="D576"/>
      <c r="E576"/>
      <c r="F576"/>
      <c r="G576"/>
      <c r="H576"/>
      <c r="I576"/>
      <c r="J576"/>
      <c r="K576"/>
      <c r="O576"/>
      <c r="P576"/>
    </row>
    <row r="577" spans="1:16" x14ac:dyDescent="0.25">
      <c r="A577"/>
      <c r="B577"/>
      <c r="C577"/>
      <c r="D577"/>
      <c r="E577"/>
      <c r="F577"/>
      <c r="G577"/>
      <c r="H577"/>
      <c r="I577"/>
      <c r="J577"/>
      <c r="K577"/>
      <c r="O577"/>
      <c r="P577"/>
    </row>
    <row r="578" spans="1:16" x14ac:dyDescent="0.25">
      <c r="A578"/>
      <c r="B578"/>
      <c r="C578"/>
      <c r="D578"/>
      <c r="E578"/>
      <c r="F578"/>
      <c r="G578"/>
      <c r="H578"/>
      <c r="I578"/>
      <c r="J578"/>
      <c r="K578"/>
      <c r="O578"/>
      <c r="P578"/>
    </row>
    <row r="579" spans="1:16" x14ac:dyDescent="0.25">
      <c r="A579"/>
      <c r="B579"/>
      <c r="C579"/>
      <c r="D579"/>
      <c r="E579"/>
      <c r="F579"/>
      <c r="G579"/>
      <c r="H579"/>
      <c r="I579"/>
      <c r="J579"/>
      <c r="K579"/>
      <c r="O579"/>
      <c r="P579"/>
    </row>
    <row r="580" spans="1:16" x14ac:dyDescent="0.25">
      <c r="A580"/>
      <c r="B580"/>
      <c r="C580"/>
      <c r="D580"/>
      <c r="E580"/>
      <c r="F580"/>
      <c r="G580"/>
      <c r="H580"/>
      <c r="I580"/>
      <c r="J580"/>
      <c r="K580"/>
      <c r="O580"/>
      <c r="P580"/>
    </row>
    <row r="581" spans="1:16" x14ac:dyDescent="0.25">
      <c r="A581"/>
      <c r="B581"/>
      <c r="C581"/>
      <c r="D581"/>
      <c r="E581"/>
      <c r="F581"/>
      <c r="G581"/>
      <c r="H581"/>
      <c r="I581"/>
      <c r="J581"/>
      <c r="K581"/>
      <c r="O581"/>
      <c r="P581"/>
    </row>
    <row r="582" spans="1:16" x14ac:dyDescent="0.25">
      <c r="A582"/>
      <c r="B582"/>
      <c r="C582"/>
      <c r="D582"/>
      <c r="E582"/>
      <c r="F582"/>
      <c r="G582"/>
      <c r="H582"/>
      <c r="I582"/>
      <c r="J582"/>
      <c r="K582"/>
      <c r="O582"/>
      <c r="P582"/>
    </row>
    <row r="583" spans="1:16" x14ac:dyDescent="0.25">
      <c r="A583"/>
      <c r="B583"/>
      <c r="C583"/>
      <c r="D583"/>
      <c r="E583"/>
      <c r="F583"/>
      <c r="G583"/>
      <c r="H583"/>
      <c r="I583"/>
      <c r="J583"/>
      <c r="K583"/>
      <c r="O583"/>
      <c r="P583"/>
    </row>
    <row r="584" spans="1:16" x14ac:dyDescent="0.25">
      <c r="A584"/>
      <c r="B584"/>
      <c r="C584"/>
      <c r="D584"/>
      <c r="E584"/>
      <c r="F584"/>
      <c r="G584"/>
      <c r="H584"/>
      <c r="I584"/>
      <c r="J584"/>
      <c r="K584"/>
      <c r="O584"/>
      <c r="P584"/>
    </row>
    <row r="585" spans="1:16" x14ac:dyDescent="0.25">
      <c r="A585"/>
      <c r="B585"/>
      <c r="C585"/>
      <c r="D585"/>
      <c r="E585"/>
      <c r="F585"/>
      <c r="G585"/>
      <c r="H585"/>
      <c r="I585"/>
      <c r="J585"/>
      <c r="K585"/>
      <c r="O585"/>
      <c r="P585"/>
    </row>
    <row r="586" spans="1:16" x14ac:dyDescent="0.25">
      <c r="A586"/>
      <c r="B586"/>
      <c r="C586"/>
      <c r="D586"/>
      <c r="E586"/>
      <c r="F586"/>
      <c r="G586"/>
      <c r="H586"/>
      <c r="I586"/>
      <c r="J586"/>
      <c r="K586"/>
      <c r="O586"/>
      <c r="P586"/>
    </row>
    <row r="587" spans="1:16" x14ac:dyDescent="0.25">
      <c r="A587"/>
      <c r="B587"/>
      <c r="C587"/>
      <c r="D587"/>
      <c r="E587"/>
      <c r="F587"/>
      <c r="G587"/>
      <c r="H587"/>
      <c r="I587"/>
      <c r="J587"/>
      <c r="K587"/>
      <c r="O587"/>
      <c r="P587"/>
    </row>
    <row r="588" spans="1:16" x14ac:dyDescent="0.25">
      <c r="A588"/>
      <c r="B588"/>
      <c r="C588"/>
      <c r="D588"/>
      <c r="E588"/>
      <c r="F588"/>
      <c r="G588"/>
      <c r="H588"/>
      <c r="I588"/>
      <c r="J588"/>
      <c r="K588"/>
      <c r="O588"/>
      <c r="P588"/>
    </row>
    <row r="589" spans="1:16" x14ac:dyDescent="0.25">
      <c r="A589"/>
      <c r="B589"/>
      <c r="C589"/>
      <c r="D589"/>
      <c r="E589"/>
      <c r="F589"/>
      <c r="G589"/>
      <c r="H589"/>
      <c r="I589"/>
      <c r="J589"/>
      <c r="K589"/>
      <c r="O589"/>
      <c r="P589"/>
    </row>
    <row r="590" spans="1:16" x14ac:dyDescent="0.25">
      <c r="A590"/>
      <c r="B590"/>
      <c r="C590"/>
      <c r="D590"/>
      <c r="E590"/>
      <c r="F590"/>
      <c r="G590"/>
      <c r="H590"/>
      <c r="I590"/>
      <c r="J590"/>
      <c r="K590"/>
      <c r="O590"/>
      <c r="P590"/>
    </row>
    <row r="591" spans="1:16" x14ac:dyDescent="0.25">
      <c r="A591"/>
      <c r="B591"/>
      <c r="C591"/>
      <c r="D591"/>
      <c r="E591"/>
      <c r="F591"/>
      <c r="G591"/>
      <c r="H591"/>
      <c r="I591"/>
      <c r="J591"/>
      <c r="K591"/>
      <c r="O591"/>
      <c r="P591"/>
    </row>
    <row r="592" spans="1:16" x14ac:dyDescent="0.25">
      <c r="A592"/>
      <c r="B592"/>
      <c r="C592"/>
      <c r="D592"/>
      <c r="E592"/>
      <c r="F592"/>
      <c r="G592"/>
      <c r="H592"/>
      <c r="I592"/>
      <c r="J592"/>
      <c r="K592"/>
      <c r="O592"/>
      <c r="P592"/>
    </row>
    <row r="593" spans="1:16" x14ac:dyDescent="0.25">
      <c r="A593"/>
      <c r="B593"/>
      <c r="C593"/>
      <c r="D593"/>
      <c r="E593"/>
      <c r="F593"/>
      <c r="G593"/>
      <c r="H593"/>
      <c r="I593"/>
      <c r="J593"/>
      <c r="K593"/>
      <c r="O593"/>
      <c r="P593"/>
    </row>
    <row r="594" spans="1:16" x14ac:dyDescent="0.25">
      <c r="A594"/>
      <c r="B594"/>
      <c r="C594"/>
      <c r="D594"/>
      <c r="E594"/>
      <c r="F594"/>
      <c r="G594"/>
      <c r="H594"/>
      <c r="I594"/>
      <c r="J594"/>
      <c r="K594"/>
      <c r="O594"/>
      <c r="P594"/>
    </row>
    <row r="595" spans="1:16" x14ac:dyDescent="0.25">
      <c r="A595"/>
      <c r="B595"/>
      <c r="C595"/>
      <c r="D595"/>
      <c r="E595"/>
      <c r="F595"/>
      <c r="G595"/>
      <c r="H595"/>
      <c r="I595"/>
      <c r="J595"/>
      <c r="K595"/>
      <c r="O595"/>
      <c r="P595"/>
    </row>
    <row r="596" spans="1:16" x14ac:dyDescent="0.25">
      <c r="A596"/>
      <c r="B596"/>
      <c r="C596"/>
      <c r="D596"/>
      <c r="E596"/>
      <c r="F596"/>
      <c r="G596"/>
      <c r="H596"/>
      <c r="I596"/>
      <c r="J596"/>
      <c r="K596"/>
      <c r="O596"/>
      <c r="P596"/>
    </row>
    <row r="597" spans="1:16" x14ac:dyDescent="0.25">
      <c r="A597"/>
      <c r="B597"/>
      <c r="C597"/>
      <c r="D597"/>
      <c r="E597"/>
      <c r="F597"/>
      <c r="G597"/>
      <c r="H597"/>
      <c r="I597"/>
      <c r="J597"/>
      <c r="K597"/>
      <c r="O597"/>
      <c r="P597"/>
    </row>
    <row r="598" spans="1:16" x14ac:dyDescent="0.25">
      <c r="A598"/>
      <c r="B598"/>
      <c r="C598"/>
      <c r="D598"/>
      <c r="E598"/>
      <c r="F598"/>
      <c r="G598"/>
      <c r="H598"/>
      <c r="I598"/>
      <c r="J598"/>
      <c r="K598"/>
      <c r="O598"/>
      <c r="P598"/>
    </row>
    <row r="599" spans="1:16" x14ac:dyDescent="0.25">
      <c r="A599"/>
      <c r="B599"/>
      <c r="C599"/>
      <c r="D599"/>
      <c r="E599"/>
      <c r="F599"/>
      <c r="G599"/>
      <c r="H599"/>
      <c r="I599"/>
      <c r="J599"/>
      <c r="K599"/>
      <c r="O599"/>
      <c r="P599"/>
    </row>
    <row r="600" spans="1:16" x14ac:dyDescent="0.25">
      <c r="A600"/>
      <c r="B600"/>
      <c r="C600"/>
      <c r="D600"/>
      <c r="E600"/>
      <c r="F600"/>
      <c r="G600"/>
      <c r="H600"/>
      <c r="I600"/>
      <c r="J600"/>
      <c r="K600"/>
      <c r="O600"/>
      <c r="P600"/>
    </row>
    <row r="601" spans="1:16" x14ac:dyDescent="0.25">
      <c r="A601"/>
      <c r="B601"/>
      <c r="C601"/>
      <c r="D601"/>
      <c r="E601"/>
      <c r="F601"/>
      <c r="G601"/>
      <c r="H601"/>
      <c r="I601"/>
      <c r="J601"/>
      <c r="K601"/>
      <c r="O601"/>
      <c r="P601"/>
    </row>
    <row r="602" spans="1:16" x14ac:dyDescent="0.25">
      <c r="A602"/>
      <c r="B602"/>
      <c r="C602"/>
      <c r="D602"/>
      <c r="E602"/>
      <c r="F602"/>
      <c r="G602"/>
      <c r="H602"/>
      <c r="I602"/>
      <c r="J602"/>
      <c r="K602"/>
      <c r="O602"/>
      <c r="P602"/>
    </row>
    <row r="603" spans="1:16" x14ac:dyDescent="0.25">
      <c r="A603"/>
      <c r="B603"/>
      <c r="C603"/>
      <c r="D603"/>
      <c r="E603"/>
      <c r="F603"/>
      <c r="G603"/>
      <c r="H603"/>
      <c r="I603"/>
      <c r="J603"/>
      <c r="K603"/>
      <c r="O603"/>
      <c r="P603"/>
    </row>
    <row r="604" spans="1:16" x14ac:dyDescent="0.25">
      <c r="A604"/>
      <c r="B604"/>
      <c r="C604"/>
      <c r="D604"/>
      <c r="E604"/>
      <c r="F604"/>
      <c r="G604"/>
      <c r="H604"/>
      <c r="I604"/>
      <c r="J604"/>
      <c r="K604"/>
      <c r="O604"/>
      <c r="P604"/>
    </row>
    <row r="605" spans="1:16" x14ac:dyDescent="0.25">
      <c r="A605"/>
      <c r="B605"/>
      <c r="C605"/>
      <c r="D605"/>
      <c r="E605"/>
      <c r="F605"/>
      <c r="G605"/>
      <c r="H605"/>
      <c r="I605"/>
      <c r="J605"/>
      <c r="K605"/>
      <c r="O605"/>
      <c r="P605"/>
    </row>
    <row r="606" spans="1:16" x14ac:dyDescent="0.25">
      <c r="A606"/>
      <c r="B606"/>
      <c r="C606"/>
      <c r="D606"/>
      <c r="E606"/>
      <c r="F606"/>
      <c r="G606"/>
      <c r="H606"/>
      <c r="I606"/>
      <c r="J606"/>
      <c r="K606"/>
      <c r="O606"/>
      <c r="P606"/>
    </row>
    <row r="607" spans="1:16" x14ac:dyDescent="0.25">
      <c r="A607"/>
      <c r="B607"/>
      <c r="C607"/>
      <c r="D607"/>
      <c r="E607"/>
      <c r="F607"/>
      <c r="G607"/>
      <c r="H607"/>
      <c r="I607"/>
      <c r="J607"/>
      <c r="K607"/>
      <c r="O607"/>
      <c r="P607"/>
    </row>
    <row r="608" spans="1:16" x14ac:dyDescent="0.25">
      <c r="A608"/>
      <c r="B608"/>
      <c r="C608"/>
      <c r="D608"/>
      <c r="E608"/>
      <c r="F608"/>
      <c r="G608"/>
      <c r="H608"/>
      <c r="I608"/>
      <c r="J608"/>
      <c r="K608"/>
      <c r="O608"/>
      <c r="P608"/>
    </row>
    <row r="609" spans="1:16" x14ac:dyDescent="0.25">
      <c r="A609"/>
      <c r="B609"/>
      <c r="C609"/>
      <c r="D609"/>
      <c r="E609"/>
      <c r="F609"/>
      <c r="G609"/>
      <c r="H609"/>
      <c r="I609"/>
      <c r="J609"/>
      <c r="K609"/>
      <c r="O609"/>
      <c r="P609"/>
    </row>
    <row r="610" spans="1:16" x14ac:dyDescent="0.25">
      <c r="A610"/>
      <c r="B610"/>
      <c r="C610"/>
      <c r="D610"/>
      <c r="E610"/>
      <c r="F610"/>
      <c r="G610"/>
      <c r="H610"/>
      <c r="I610"/>
      <c r="J610"/>
      <c r="K610"/>
      <c r="O610"/>
      <c r="P610"/>
    </row>
    <row r="611" spans="1:16" x14ac:dyDescent="0.25">
      <c r="A611"/>
      <c r="B611"/>
      <c r="C611"/>
      <c r="D611"/>
      <c r="E611"/>
      <c r="F611"/>
      <c r="G611"/>
      <c r="H611"/>
      <c r="I611"/>
      <c r="J611"/>
      <c r="K611"/>
      <c r="O611"/>
      <c r="P611"/>
    </row>
    <row r="612" spans="1:16" x14ac:dyDescent="0.25">
      <c r="A612"/>
      <c r="B612"/>
      <c r="C612"/>
      <c r="D612"/>
      <c r="E612"/>
      <c r="F612"/>
      <c r="G612"/>
      <c r="H612"/>
      <c r="I612"/>
      <c r="J612"/>
      <c r="K612"/>
      <c r="O612"/>
      <c r="P612"/>
    </row>
    <row r="613" spans="1:16" x14ac:dyDescent="0.25">
      <c r="A613"/>
      <c r="B613"/>
      <c r="C613"/>
      <c r="D613"/>
      <c r="E613"/>
      <c r="F613"/>
      <c r="G613"/>
      <c r="H613"/>
      <c r="I613"/>
      <c r="J613"/>
      <c r="K613"/>
      <c r="O613"/>
      <c r="P613"/>
    </row>
    <row r="614" spans="1:16" x14ac:dyDescent="0.25">
      <c r="A614"/>
      <c r="B614"/>
      <c r="C614"/>
      <c r="D614"/>
      <c r="E614"/>
      <c r="F614"/>
      <c r="G614"/>
      <c r="H614"/>
      <c r="I614"/>
      <c r="J614"/>
      <c r="K614"/>
      <c r="O614"/>
      <c r="P614"/>
    </row>
    <row r="615" spans="1:16" x14ac:dyDescent="0.25">
      <c r="A615"/>
      <c r="B615"/>
      <c r="C615"/>
      <c r="D615"/>
      <c r="E615"/>
      <c r="F615"/>
      <c r="G615"/>
      <c r="H615"/>
      <c r="I615"/>
      <c r="J615"/>
      <c r="K615"/>
      <c r="O615"/>
      <c r="P615"/>
    </row>
    <row r="616" spans="1:16" x14ac:dyDescent="0.25">
      <c r="A616"/>
      <c r="B616"/>
      <c r="C616"/>
      <c r="D616"/>
      <c r="E616"/>
      <c r="F616"/>
      <c r="G616"/>
      <c r="H616"/>
      <c r="I616"/>
      <c r="J616"/>
      <c r="K616"/>
      <c r="P616"/>
    </row>
    <row r="617" spans="1:16" x14ac:dyDescent="0.25">
      <c r="A617"/>
      <c r="B617"/>
      <c r="C617"/>
      <c r="D617"/>
      <c r="E617"/>
      <c r="F617"/>
      <c r="G617"/>
      <c r="H617"/>
      <c r="I617"/>
      <c r="J617"/>
      <c r="K617"/>
      <c r="P617"/>
    </row>
    <row r="618" spans="1:16" x14ac:dyDescent="0.25">
      <c r="A618"/>
      <c r="B618"/>
      <c r="C618"/>
      <c r="D618"/>
      <c r="E618"/>
      <c r="F618"/>
      <c r="G618"/>
      <c r="H618"/>
      <c r="I618"/>
      <c r="J618"/>
      <c r="K618"/>
      <c r="P618"/>
    </row>
    <row r="619" spans="1:16" x14ac:dyDescent="0.25">
      <c r="A619"/>
      <c r="B619"/>
      <c r="C619"/>
      <c r="D619"/>
      <c r="E619"/>
      <c r="F619"/>
      <c r="G619"/>
      <c r="H619"/>
      <c r="I619"/>
      <c r="J619"/>
      <c r="K619"/>
      <c r="P619"/>
    </row>
    <row r="620" spans="1:16" x14ac:dyDescent="0.25">
      <c r="A620"/>
      <c r="B620"/>
      <c r="C620"/>
      <c r="D620"/>
      <c r="E620"/>
      <c r="F620"/>
      <c r="G620"/>
      <c r="H620"/>
      <c r="I620"/>
      <c r="J620"/>
      <c r="K620"/>
      <c r="P620"/>
    </row>
    <row r="621" spans="1:16" x14ac:dyDescent="0.25">
      <c r="A621"/>
      <c r="B621"/>
      <c r="C621"/>
      <c r="D621"/>
      <c r="E621"/>
      <c r="F621"/>
      <c r="G621"/>
      <c r="H621"/>
      <c r="I621"/>
      <c r="J621"/>
      <c r="K621"/>
      <c r="P621"/>
    </row>
    <row r="622" spans="1:16" x14ac:dyDescent="0.25">
      <c r="A622"/>
      <c r="B622"/>
      <c r="C622"/>
      <c r="D622"/>
      <c r="E622"/>
      <c r="F622"/>
      <c r="G622"/>
      <c r="H622"/>
      <c r="I622"/>
      <c r="J622"/>
      <c r="K622"/>
      <c r="P622"/>
    </row>
    <row r="623" spans="1:16" x14ac:dyDescent="0.25">
      <c r="A623"/>
      <c r="B623"/>
      <c r="C623"/>
      <c r="D623"/>
      <c r="E623"/>
      <c r="F623"/>
      <c r="G623"/>
      <c r="H623"/>
      <c r="I623"/>
      <c r="J623"/>
      <c r="K623"/>
      <c r="P623"/>
    </row>
    <row r="624" spans="1:16" x14ac:dyDescent="0.25">
      <c r="A624"/>
      <c r="B624"/>
      <c r="C624"/>
      <c r="D624"/>
      <c r="E624"/>
      <c r="F624"/>
      <c r="G624"/>
      <c r="H624"/>
      <c r="I624"/>
      <c r="J624"/>
      <c r="K624"/>
      <c r="P624"/>
    </row>
    <row r="625" spans="1:16" x14ac:dyDescent="0.25">
      <c r="A625"/>
      <c r="B625"/>
      <c r="C625"/>
      <c r="D625"/>
      <c r="E625"/>
      <c r="F625"/>
      <c r="G625"/>
      <c r="H625"/>
      <c r="I625"/>
      <c r="J625"/>
      <c r="K625"/>
      <c r="P625"/>
    </row>
    <row r="626" spans="1:16" x14ac:dyDescent="0.25">
      <c r="A626"/>
      <c r="B626"/>
      <c r="C626"/>
      <c r="D626"/>
      <c r="E626"/>
      <c r="F626"/>
      <c r="G626"/>
      <c r="H626"/>
      <c r="I626"/>
      <c r="J626"/>
      <c r="K626"/>
      <c r="P626"/>
    </row>
    <row r="627" spans="1:16" x14ac:dyDescent="0.25">
      <c r="A627"/>
      <c r="B627"/>
      <c r="C627"/>
      <c r="D627"/>
      <c r="E627"/>
      <c r="F627"/>
      <c r="G627"/>
      <c r="H627"/>
      <c r="I627"/>
      <c r="J627"/>
      <c r="K627"/>
      <c r="P627"/>
    </row>
    <row r="628" spans="1:16" x14ac:dyDescent="0.25">
      <c r="A628"/>
      <c r="B628"/>
      <c r="C628"/>
      <c r="D628"/>
      <c r="E628"/>
      <c r="F628"/>
      <c r="G628"/>
      <c r="H628"/>
      <c r="I628"/>
      <c r="J628"/>
      <c r="K628"/>
      <c r="P628"/>
    </row>
    <row r="629" spans="1:16" x14ac:dyDescent="0.25">
      <c r="A629"/>
      <c r="B629"/>
      <c r="C629"/>
      <c r="D629"/>
      <c r="E629"/>
      <c r="F629"/>
      <c r="G629"/>
      <c r="H629"/>
      <c r="I629"/>
      <c r="J629"/>
      <c r="K629"/>
      <c r="P629"/>
    </row>
    <row r="630" spans="1:16" x14ac:dyDescent="0.25">
      <c r="A630"/>
      <c r="B630"/>
      <c r="C630"/>
      <c r="D630"/>
      <c r="E630"/>
      <c r="F630"/>
      <c r="G630"/>
      <c r="H630"/>
      <c r="I630"/>
      <c r="J630"/>
      <c r="K630"/>
      <c r="P630"/>
    </row>
    <row r="631" spans="1:16" x14ac:dyDescent="0.25">
      <c r="A631"/>
      <c r="B631"/>
      <c r="C631"/>
      <c r="D631"/>
      <c r="E631"/>
      <c r="F631"/>
      <c r="G631"/>
      <c r="H631"/>
      <c r="I631"/>
      <c r="J631"/>
      <c r="K631"/>
      <c r="P631"/>
    </row>
    <row r="632" spans="1:16" x14ac:dyDescent="0.25">
      <c r="A632"/>
      <c r="B632"/>
      <c r="C632"/>
      <c r="D632"/>
      <c r="E632"/>
      <c r="F632"/>
      <c r="G632"/>
      <c r="H632"/>
      <c r="I632"/>
      <c r="J632"/>
      <c r="K632"/>
      <c r="P632"/>
    </row>
    <row r="633" spans="1:16" x14ac:dyDescent="0.25">
      <c r="A633"/>
      <c r="B633"/>
      <c r="C633"/>
      <c r="D633"/>
      <c r="E633"/>
      <c r="F633"/>
      <c r="G633"/>
      <c r="H633"/>
      <c r="I633"/>
      <c r="J633"/>
      <c r="K633"/>
      <c r="P633"/>
    </row>
    <row r="634" spans="1:16" x14ac:dyDescent="0.25">
      <c r="A634"/>
      <c r="B634"/>
      <c r="C634"/>
      <c r="D634"/>
      <c r="E634"/>
      <c r="F634"/>
      <c r="G634"/>
      <c r="H634"/>
      <c r="I634"/>
      <c r="J634"/>
      <c r="K634"/>
      <c r="P634"/>
    </row>
    <row r="635" spans="1:16" x14ac:dyDescent="0.25">
      <c r="A635"/>
      <c r="B635"/>
      <c r="C635"/>
      <c r="D635"/>
      <c r="E635"/>
      <c r="F635"/>
      <c r="G635"/>
      <c r="H635"/>
      <c r="I635"/>
      <c r="J635"/>
      <c r="K635"/>
      <c r="P635"/>
    </row>
    <row r="636" spans="1:16" x14ac:dyDescent="0.25">
      <c r="A636"/>
      <c r="B636"/>
      <c r="C636"/>
      <c r="D636"/>
      <c r="E636"/>
      <c r="F636"/>
      <c r="G636"/>
      <c r="H636"/>
      <c r="I636"/>
      <c r="J636"/>
      <c r="K636"/>
      <c r="P636"/>
    </row>
    <row r="637" spans="1:16" x14ac:dyDescent="0.25">
      <c r="A637"/>
      <c r="B637"/>
      <c r="C637"/>
      <c r="D637"/>
      <c r="E637"/>
      <c r="F637"/>
      <c r="G637"/>
      <c r="H637"/>
      <c r="I637"/>
      <c r="J637"/>
      <c r="K637"/>
      <c r="P637"/>
    </row>
    <row r="638" spans="1:16" x14ac:dyDescent="0.25">
      <c r="A638"/>
      <c r="B638"/>
      <c r="C638"/>
      <c r="D638"/>
      <c r="E638"/>
      <c r="F638"/>
      <c r="G638"/>
      <c r="H638"/>
      <c r="I638"/>
      <c r="J638"/>
      <c r="K638"/>
      <c r="P638"/>
    </row>
    <row r="639" spans="1:16" x14ac:dyDescent="0.25">
      <c r="A639"/>
      <c r="B639"/>
      <c r="C639"/>
      <c r="D639"/>
      <c r="E639"/>
      <c r="F639"/>
      <c r="G639"/>
      <c r="H639"/>
      <c r="I639"/>
      <c r="J639"/>
      <c r="K639"/>
      <c r="P639"/>
    </row>
    <row r="640" spans="1:16" x14ac:dyDescent="0.25">
      <c r="A640"/>
      <c r="B640"/>
      <c r="C640"/>
      <c r="D640"/>
      <c r="E640"/>
      <c r="F640"/>
      <c r="G640"/>
      <c r="H640"/>
      <c r="I640"/>
      <c r="J640"/>
      <c r="K640"/>
      <c r="P640"/>
    </row>
    <row r="641" spans="1:1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x14ac:dyDescent="0.25">
      <c r="A659"/>
      <c r="B659"/>
      <c r="C659"/>
      <c r="D659"/>
      <c r="E659"/>
      <c r="F659"/>
      <c r="G659"/>
      <c r="H659"/>
      <c r="I659"/>
      <c r="J659"/>
    </row>
    <row r="660" spans="1:11" x14ac:dyDescent="0.25">
      <c r="A660"/>
      <c r="B660"/>
      <c r="C660"/>
      <c r="D660"/>
      <c r="E660"/>
      <c r="F660"/>
      <c r="G660"/>
      <c r="H660"/>
      <c r="I660"/>
      <c r="J660"/>
    </row>
    <row r="661" spans="1:11" x14ac:dyDescent="0.25">
      <c r="A661"/>
      <c r="B661"/>
      <c r="C661"/>
      <c r="D661"/>
      <c r="E661"/>
      <c r="F661"/>
      <c r="G661"/>
      <c r="H661"/>
      <c r="I661"/>
      <c r="J661"/>
    </row>
    <row r="662" spans="1:11" x14ac:dyDescent="0.25">
      <c r="A662"/>
      <c r="B662"/>
      <c r="C662"/>
      <c r="D662"/>
      <c r="E662"/>
      <c r="F662"/>
      <c r="G662"/>
      <c r="H662"/>
      <c r="I662"/>
      <c r="J662"/>
    </row>
    <row r="663" spans="1:11" x14ac:dyDescent="0.25">
      <c r="A663"/>
      <c r="B663"/>
      <c r="C663"/>
      <c r="D663"/>
      <c r="E663"/>
      <c r="F663"/>
      <c r="G663"/>
      <c r="H663"/>
      <c r="I663"/>
      <c r="J663"/>
    </row>
    <row r="664" spans="1:11" x14ac:dyDescent="0.25">
      <c r="A664"/>
      <c r="B664"/>
      <c r="C664"/>
      <c r="D664"/>
      <c r="E664"/>
      <c r="F664"/>
      <c r="G664"/>
      <c r="H664"/>
      <c r="I664"/>
      <c r="J664"/>
    </row>
    <row r="665" spans="1:11" x14ac:dyDescent="0.25">
      <c r="A665"/>
      <c r="B665"/>
      <c r="C665"/>
      <c r="D665"/>
      <c r="E665"/>
      <c r="F665"/>
      <c r="G665"/>
      <c r="H665"/>
      <c r="I665"/>
      <c r="J665"/>
    </row>
    <row r="666" spans="1:11" x14ac:dyDescent="0.25">
      <c r="A666"/>
      <c r="B666"/>
      <c r="C666"/>
      <c r="D666"/>
      <c r="E666"/>
      <c r="F666"/>
      <c r="G666"/>
      <c r="H666"/>
      <c r="I666"/>
      <c r="J666"/>
    </row>
    <row r="667" spans="1:11" x14ac:dyDescent="0.25">
      <c r="A667"/>
      <c r="B667"/>
      <c r="C667"/>
      <c r="D667"/>
      <c r="E667"/>
      <c r="F667"/>
      <c r="G667"/>
      <c r="H667"/>
      <c r="I667"/>
      <c r="J667"/>
    </row>
    <row r="668" spans="1:11" x14ac:dyDescent="0.25">
      <c r="A668"/>
      <c r="B668"/>
      <c r="C668"/>
      <c r="D668"/>
      <c r="E668"/>
      <c r="F668"/>
      <c r="G668"/>
      <c r="H668"/>
      <c r="I668"/>
      <c r="J668"/>
    </row>
    <row r="669" spans="1:11" x14ac:dyDescent="0.25">
      <c r="A669"/>
      <c r="B669"/>
      <c r="C669"/>
      <c r="D669"/>
      <c r="E669"/>
      <c r="F669"/>
      <c r="G669"/>
      <c r="H669"/>
      <c r="I669"/>
      <c r="J669"/>
    </row>
    <row r="670" spans="1:11" x14ac:dyDescent="0.25">
      <c r="A670"/>
      <c r="B670"/>
      <c r="C670"/>
      <c r="D670"/>
      <c r="E670"/>
      <c r="F670"/>
      <c r="G670"/>
      <c r="H670"/>
      <c r="I670"/>
      <c r="J670"/>
    </row>
    <row r="671" spans="1:11" x14ac:dyDescent="0.25">
      <c r="A671"/>
      <c r="B671"/>
      <c r="C671"/>
      <c r="D671"/>
      <c r="E671"/>
      <c r="F671"/>
      <c r="G671"/>
      <c r="H671"/>
      <c r="I671"/>
      <c r="J671"/>
    </row>
    <row r="672" spans="1:11" x14ac:dyDescent="0.25">
      <c r="A672"/>
      <c r="B672"/>
      <c r="C672"/>
      <c r="D672"/>
      <c r="E672"/>
      <c r="F672"/>
      <c r="G672"/>
      <c r="H672"/>
      <c r="I672"/>
      <c r="J672"/>
    </row>
    <row r="673" spans="1:10" x14ac:dyDescent="0.25">
      <c r="A673"/>
      <c r="B673"/>
      <c r="C673"/>
      <c r="D673"/>
      <c r="E673"/>
      <c r="F673"/>
      <c r="G673"/>
      <c r="H673"/>
      <c r="I673"/>
      <c r="J673"/>
    </row>
    <row r="674" spans="1:10" x14ac:dyDescent="0.25">
      <c r="A674"/>
      <c r="B674"/>
      <c r="C674"/>
      <c r="D674"/>
      <c r="E674"/>
      <c r="F674"/>
      <c r="G674"/>
      <c r="H674"/>
      <c r="I674"/>
      <c r="J674"/>
    </row>
    <row r="675" spans="1:10" x14ac:dyDescent="0.25">
      <c r="A675"/>
      <c r="B675"/>
      <c r="C675"/>
      <c r="D675"/>
      <c r="E675"/>
      <c r="F675"/>
      <c r="G675"/>
      <c r="H675"/>
      <c r="I675"/>
      <c r="J675"/>
    </row>
    <row r="676" spans="1:10" x14ac:dyDescent="0.25">
      <c r="A676"/>
      <c r="B676"/>
      <c r="C676"/>
      <c r="D676"/>
      <c r="E676"/>
      <c r="F676"/>
      <c r="G676"/>
      <c r="H676"/>
      <c r="I676"/>
      <c r="J676"/>
    </row>
    <row r="677" spans="1:10" x14ac:dyDescent="0.25">
      <c r="A677"/>
      <c r="B677"/>
      <c r="C677"/>
      <c r="D677"/>
      <c r="E677"/>
      <c r="F677"/>
      <c r="G677"/>
      <c r="H677"/>
      <c r="I677"/>
      <c r="J677"/>
    </row>
    <row r="678" spans="1:10" x14ac:dyDescent="0.25">
      <c r="A678"/>
      <c r="B678"/>
      <c r="C678"/>
      <c r="D678"/>
      <c r="E678"/>
      <c r="F678"/>
      <c r="G678"/>
      <c r="H678"/>
      <c r="I678"/>
      <c r="J678"/>
    </row>
    <row r="679" spans="1:10" x14ac:dyDescent="0.25">
      <c r="A679"/>
      <c r="B679"/>
      <c r="C679"/>
      <c r="D679"/>
      <c r="E679"/>
      <c r="F679"/>
      <c r="G679"/>
      <c r="H679"/>
      <c r="I679"/>
      <c r="J679"/>
    </row>
    <row r="680" spans="1:10" x14ac:dyDescent="0.25">
      <c r="A680"/>
      <c r="B680"/>
      <c r="C680"/>
      <c r="D680"/>
      <c r="E680"/>
      <c r="F680"/>
      <c r="G680"/>
      <c r="H680"/>
      <c r="I680"/>
      <c r="J680"/>
    </row>
    <row r="681" spans="1:10" x14ac:dyDescent="0.25">
      <c r="A681"/>
      <c r="B681"/>
      <c r="C681"/>
      <c r="D681"/>
      <c r="E681"/>
      <c r="F681"/>
      <c r="G681"/>
      <c r="H681"/>
      <c r="I681"/>
      <c r="J681"/>
    </row>
    <row r="682" spans="1:10" x14ac:dyDescent="0.25">
      <c r="A682"/>
      <c r="B682"/>
      <c r="C682"/>
      <c r="D682"/>
      <c r="E682"/>
      <c r="F682"/>
      <c r="G682"/>
      <c r="H682"/>
      <c r="I682"/>
      <c r="J682"/>
    </row>
    <row r="683" spans="1:10" x14ac:dyDescent="0.25">
      <c r="A683"/>
      <c r="B683"/>
      <c r="C683"/>
      <c r="D683"/>
      <c r="E683"/>
      <c r="F683"/>
      <c r="G683"/>
      <c r="H683"/>
      <c r="I683"/>
      <c r="J683"/>
    </row>
    <row r="684" spans="1:10" x14ac:dyDescent="0.25">
      <c r="A684"/>
      <c r="B684"/>
      <c r="C684"/>
      <c r="D684"/>
      <c r="E684"/>
      <c r="F684"/>
      <c r="G684"/>
      <c r="H684"/>
      <c r="I684"/>
      <c r="J684"/>
    </row>
    <row r="685" spans="1:10" x14ac:dyDescent="0.25">
      <c r="A685"/>
      <c r="B685"/>
      <c r="C685"/>
      <c r="D685"/>
      <c r="E685"/>
      <c r="F685"/>
      <c r="G685"/>
      <c r="H685"/>
      <c r="I685"/>
      <c r="J685"/>
    </row>
    <row r="686" spans="1:10" x14ac:dyDescent="0.25">
      <c r="A686"/>
      <c r="B686"/>
      <c r="C686"/>
      <c r="D686"/>
      <c r="E686"/>
      <c r="F686"/>
      <c r="G686"/>
      <c r="H686"/>
      <c r="I686"/>
      <c r="J686"/>
    </row>
    <row r="687" spans="1:10" x14ac:dyDescent="0.25">
      <c r="A687"/>
      <c r="B687"/>
      <c r="C687"/>
      <c r="D687"/>
      <c r="E687"/>
      <c r="F687"/>
      <c r="G687"/>
      <c r="H687"/>
      <c r="I687"/>
      <c r="J687"/>
    </row>
    <row r="688" spans="1:10" x14ac:dyDescent="0.25">
      <c r="A688"/>
      <c r="B688"/>
      <c r="C688"/>
      <c r="D688"/>
      <c r="E688"/>
      <c r="F688"/>
      <c r="G688"/>
      <c r="H688"/>
      <c r="I688"/>
      <c r="J688"/>
    </row>
    <row r="689" spans="1:10" x14ac:dyDescent="0.25">
      <c r="A689"/>
      <c r="B689"/>
      <c r="C689"/>
      <c r="D689"/>
      <c r="E689"/>
      <c r="F689"/>
      <c r="G689"/>
      <c r="H689"/>
      <c r="I689"/>
      <c r="J689"/>
    </row>
    <row r="690" spans="1:10" x14ac:dyDescent="0.25">
      <c r="A690"/>
      <c r="B690"/>
      <c r="C690"/>
      <c r="D690"/>
      <c r="E690"/>
      <c r="F690"/>
      <c r="G690"/>
      <c r="H690"/>
      <c r="I690"/>
      <c r="J690"/>
    </row>
    <row r="691" spans="1:10" x14ac:dyDescent="0.25">
      <c r="A691"/>
      <c r="B691"/>
      <c r="C691"/>
      <c r="D691"/>
      <c r="E691"/>
      <c r="F691"/>
      <c r="G691"/>
      <c r="H691"/>
      <c r="I691"/>
      <c r="J691"/>
    </row>
    <row r="692" spans="1:10" x14ac:dyDescent="0.25">
      <c r="A692"/>
      <c r="B692"/>
      <c r="C692"/>
      <c r="D692"/>
      <c r="E692"/>
      <c r="F692"/>
      <c r="G692"/>
      <c r="H692"/>
      <c r="I692"/>
      <c r="J692"/>
    </row>
    <row r="693" spans="1:10" x14ac:dyDescent="0.25">
      <c r="A693"/>
      <c r="B693"/>
      <c r="C693"/>
      <c r="D693"/>
      <c r="E693"/>
      <c r="F693"/>
      <c r="G693"/>
      <c r="H693"/>
      <c r="I693"/>
      <c r="J693"/>
    </row>
    <row r="694" spans="1:10" x14ac:dyDescent="0.25">
      <c r="A694"/>
      <c r="B694"/>
      <c r="C694"/>
      <c r="D694"/>
      <c r="E694"/>
      <c r="F694"/>
      <c r="G694"/>
      <c r="H694"/>
      <c r="I694"/>
      <c r="J694"/>
    </row>
    <row r="695" spans="1:10" x14ac:dyDescent="0.25">
      <c r="A695"/>
      <c r="B695"/>
      <c r="C695"/>
      <c r="D695"/>
      <c r="E695"/>
      <c r="F695"/>
      <c r="G695"/>
      <c r="H695"/>
      <c r="I695"/>
      <c r="J695"/>
    </row>
    <row r="696" spans="1:10" x14ac:dyDescent="0.25">
      <c r="A696"/>
      <c r="B696"/>
      <c r="C696"/>
      <c r="D696"/>
      <c r="E696"/>
      <c r="F696"/>
      <c r="G696"/>
      <c r="H696"/>
      <c r="I696"/>
      <c r="J696"/>
    </row>
    <row r="697" spans="1:10" x14ac:dyDescent="0.25">
      <c r="A697"/>
      <c r="B697"/>
      <c r="C697"/>
      <c r="D697"/>
      <c r="E697"/>
      <c r="F697"/>
      <c r="G697"/>
      <c r="H697"/>
      <c r="I697"/>
      <c r="J697"/>
    </row>
    <row r="698" spans="1:10" x14ac:dyDescent="0.25">
      <c r="A698"/>
      <c r="B698"/>
      <c r="C698"/>
      <c r="D698"/>
      <c r="E698"/>
      <c r="F698"/>
      <c r="G698"/>
      <c r="H698"/>
      <c r="I698"/>
      <c r="J698"/>
    </row>
    <row r="699" spans="1:10" x14ac:dyDescent="0.25">
      <c r="A699"/>
      <c r="B699"/>
      <c r="C699"/>
      <c r="D699"/>
      <c r="E699"/>
      <c r="F699"/>
      <c r="G699"/>
      <c r="H699"/>
      <c r="I699"/>
      <c r="J699"/>
    </row>
    <row r="700" spans="1:10" x14ac:dyDescent="0.25">
      <c r="A700"/>
      <c r="B700"/>
      <c r="C700"/>
      <c r="D700"/>
      <c r="E700"/>
      <c r="F700"/>
      <c r="G700"/>
      <c r="H700"/>
      <c r="I700"/>
      <c r="J700"/>
    </row>
    <row r="701" spans="1:10" x14ac:dyDescent="0.25">
      <c r="A701"/>
      <c r="B701"/>
      <c r="C701"/>
      <c r="D701"/>
      <c r="E701"/>
      <c r="F701"/>
      <c r="G701"/>
      <c r="H701"/>
      <c r="I701"/>
      <c r="J701"/>
    </row>
    <row r="702" spans="1:10" x14ac:dyDescent="0.25">
      <c r="A702"/>
      <c r="B702"/>
      <c r="C702"/>
      <c r="D702"/>
      <c r="E702"/>
      <c r="F702"/>
      <c r="G702"/>
      <c r="H702"/>
      <c r="I702"/>
      <c r="J702"/>
    </row>
    <row r="703" spans="1:10" x14ac:dyDescent="0.25">
      <c r="A703"/>
      <c r="B703"/>
      <c r="C703"/>
      <c r="D703"/>
      <c r="E703"/>
      <c r="F703"/>
      <c r="G703"/>
      <c r="H703"/>
      <c r="I703"/>
      <c r="J703"/>
    </row>
    <row r="704" spans="1:10" x14ac:dyDescent="0.25">
      <c r="A704"/>
      <c r="B704"/>
      <c r="C704"/>
      <c r="D704"/>
      <c r="E704"/>
      <c r="F704"/>
      <c r="G704"/>
      <c r="H704"/>
      <c r="I704"/>
      <c r="J704"/>
    </row>
    <row r="705" spans="1:10" x14ac:dyDescent="0.25">
      <c r="A705"/>
      <c r="B705"/>
      <c r="C705"/>
      <c r="D705"/>
      <c r="E705"/>
      <c r="F705"/>
      <c r="G705"/>
      <c r="H705"/>
      <c r="I705"/>
      <c r="J705"/>
    </row>
    <row r="706" spans="1:10" x14ac:dyDescent="0.25">
      <c r="A706"/>
      <c r="B706"/>
      <c r="C706"/>
      <c r="D706"/>
      <c r="E706"/>
      <c r="F706"/>
      <c r="G706"/>
      <c r="H706"/>
      <c r="I706"/>
      <c r="J706"/>
    </row>
    <row r="707" spans="1:10" x14ac:dyDescent="0.25">
      <c r="A707"/>
      <c r="B707"/>
      <c r="C707"/>
      <c r="D707"/>
      <c r="E707"/>
      <c r="F707"/>
      <c r="G707"/>
      <c r="H707"/>
      <c r="I707"/>
      <c r="J707"/>
    </row>
    <row r="708" spans="1:10" x14ac:dyDescent="0.25">
      <c r="A708"/>
      <c r="B708"/>
      <c r="C708"/>
      <c r="D708"/>
      <c r="E708"/>
      <c r="F708"/>
      <c r="G708"/>
      <c r="H708"/>
      <c r="I708"/>
      <c r="J708"/>
    </row>
    <row r="709" spans="1:10" x14ac:dyDescent="0.25">
      <c r="A709"/>
      <c r="B709"/>
      <c r="C709"/>
      <c r="D709"/>
      <c r="E709"/>
      <c r="F709"/>
      <c r="G709"/>
      <c r="H709"/>
      <c r="I709"/>
      <c r="J709"/>
    </row>
    <row r="710" spans="1:10" x14ac:dyDescent="0.25">
      <c r="A710"/>
      <c r="B710"/>
      <c r="C710"/>
      <c r="D710"/>
      <c r="E710"/>
      <c r="F710"/>
      <c r="G710"/>
      <c r="H710"/>
      <c r="I710"/>
      <c r="J710"/>
    </row>
    <row r="711" spans="1:10" x14ac:dyDescent="0.25">
      <c r="A711"/>
      <c r="B711"/>
      <c r="C711"/>
      <c r="D711"/>
      <c r="E711"/>
      <c r="F711"/>
      <c r="G711"/>
      <c r="H711"/>
      <c r="I711"/>
      <c r="J711"/>
    </row>
    <row r="712" spans="1:10" x14ac:dyDescent="0.25">
      <c r="A712"/>
      <c r="B712"/>
      <c r="C712"/>
      <c r="D712"/>
      <c r="E712"/>
      <c r="F712"/>
      <c r="G712"/>
      <c r="H712"/>
      <c r="I712"/>
      <c r="J712"/>
    </row>
    <row r="713" spans="1:10" x14ac:dyDescent="0.25">
      <c r="A713"/>
      <c r="B713"/>
      <c r="C713"/>
      <c r="D713"/>
      <c r="E713"/>
      <c r="F713"/>
      <c r="G713"/>
      <c r="H713"/>
      <c r="I713"/>
      <c r="J713"/>
    </row>
    <row r="714" spans="1:10" x14ac:dyDescent="0.25">
      <c r="A714"/>
      <c r="B714"/>
      <c r="C714"/>
      <c r="D714"/>
      <c r="E714"/>
      <c r="F714"/>
      <c r="G714"/>
      <c r="H714"/>
      <c r="I714"/>
      <c r="J714"/>
    </row>
    <row r="715" spans="1:10" x14ac:dyDescent="0.25">
      <c r="A715"/>
      <c r="B715"/>
      <c r="C715"/>
      <c r="D715"/>
      <c r="E715"/>
      <c r="F715"/>
      <c r="G715"/>
      <c r="H715"/>
      <c r="I715"/>
      <c r="J715"/>
    </row>
    <row r="716" spans="1:10" x14ac:dyDescent="0.25">
      <c r="A716"/>
      <c r="B716"/>
      <c r="C716"/>
      <c r="D716"/>
      <c r="E716"/>
      <c r="F716"/>
      <c r="G716"/>
      <c r="H716"/>
      <c r="I716"/>
      <c r="J716"/>
    </row>
    <row r="717" spans="1:10" x14ac:dyDescent="0.25">
      <c r="A717"/>
      <c r="B717"/>
      <c r="C717"/>
      <c r="D717"/>
      <c r="E717"/>
      <c r="F717"/>
      <c r="G717"/>
      <c r="H717"/>
      <c r="I717"/>
      <c r="J717"/>
    </row>
    <row r="718" spans="1:10" x14ac:dyDescent="0.25">
      <c r="A718"/>
      <c r="B718"/>
      <c r="C718"/>
      <c r="D718"/>
      <c r="E718"/>
      <c r="F718"/>
      <c r="G718"/>
      <c r="H718"/>
      <c r="I718"/>
      <c r="J718"/>
    </row>
    <row r="719" spans="1:10" x14ac:dyDescent="0.25">
      <c r="A719"/>
      <c r="B719"/>
      <c r="C719"/>
      <c r="D719"/>
      <c r="E719"/>
      <c r="F719"/>
      <c r="G719"/>
      <c r="H719"/>
      <c r="I719"/>
      <c r="J719"/>
    </row>
    <row r="720" spans="1:10" x14ac:dyDescent="0.25">
      <c r="A720"/>
      <c r="B720"/>
      <c r="C720"/>
      <c r="D720"/>
      <c r="E720"/>
      <c r="F720"/>
      <c r="G720"/>
      <c r="H720"/>
      <c r="I720"/>
      <c r="J720"/>
    </row>
    <row r="721" spans="1:10" x14ac:dyDescent="0.25">
      <c r="A721"/>
      <c r="B721"/>
      <c r="C721"/>
      <c r="D721"/>
      <c r="E721"/>
      <c r="F721"/>
      <c r="G721"/>
      <c r="H721"/>
      <c r="I721"/>
      <c r="J721"/>
    </row>
    <row r="722" spans="1:10" x14ac:dyDescent="0.25">
      <c r="A722"/>
      <c r="B722"/>
      <c r="C722"/>
      <c r="D722"/>
      <c r="E722"/>
      <c r="F722"/>
      <c r="G722"/>
      <c r="H722"/>
      <c r="I722"/>
      <c r="J722"/>
    </row>
    <row r="723" spans="1:10" x14ac:dyDescent="0.25">
      <c r="A723"/>
      <c r="B723"/>
      <c r="C723"/>
      <c r="D723"/>
      <c r="E723"/>
      <c r="F723"/>
      <c r="G723"/>
      <c r="H723"/>
      <c r="I723"/>
      <c r="J723"/>
    </row>
    <row r="724" spans="1:10" x14ac:dyDescent="0.25">
      <c r="A724"/>
      <c r="B724"/>
      <c r="C724"/>
      <c r="D724"/>
      <c r="E724"/>
      <c r="F724"/>
      <c r="G724"/>
      <c r="H724"/>
      <c r="I724"/>
      <c r="J724"/>
    </row>
    <row r="725" spans="1:10" x14ac:dyDescent="0.25">
      <c r="A725"/>
      <c r="B725"/>
      <c r="C725"/>
      <c r="D725"/>
      <c r="E725"/>
      <c r="F725"/>
      <c r="G725"/>
      <c r="H725"/>
      <c r="I725"/>
      <c r="J725"/>
    </row>
    <row r="726" spans="1:10" x14ac:dyDescent="0.25">
      <c r="A726"/>
      <c r="B726"/>
      <c r="C726"/>
      <c r="D726"/>
      <c r="E726"/>
      <c r="F726"/>
      <c r="G726"/>
      <c r="H726"/>
      <c r="I726"/>
      <c r="J726"/>
    </row>
    <row r="727" spans="1:10" x14ac:dyDescent="0.25">
      <c r="A727"/>
      <c r="B727"/>
      <c r="C727"/>
      <c r="D727"/>
      <c r="E727"/>
      <c r="F727"/>
      <c r="G727"/>
      <c r="H727"/>
      <c r="I727"/>
      <c r="J727"/>
    </row>
    <row r="728" spans="1:10" x14ac:dyDescent="0.25">
      <c r="A728"/>
      <c r="B728"/>
      <c r="C728"/>
      <c r="D728"/>
      <c r="E728"/>
      <c r="F728"/>
      <c r="G728"/>
      <c r="H728"/>
      <c r="I728"/>
      <c r="J728"/>
    </row>
    <row r="729" spans="1:10" x14ac:dyDescent="0.25">
      <c r="A729"/>
      <c r="B729"/>
      <c r="C729"/>
      <c r="D729"/>
      <c r="E729"/>
      <c r="F729"/>
      <c r="G729"/>
      <c r="H729"/>
      <c r="I729"/>
      <c r="J729"/>
    </row>
    <row r="730" spans="1:10" x14ac:dyDescent="0.25">
      <c r="A730"/>
      <c r="B730"/>
      <c r="C730"/>
      <c r="D730"/>
      <c r="E730"/>
      <c r="F730"/>
      <c r="G730"/>
      <c r="H730"/>
      <c r="I730"/>
      <c r="J730"/>
    </row>
    <row r="731" spans="1:10" x14ac:dyDescent="0.25">
      <c r="A731"/>
      <c r="B731"/>
      <c r="C731"/>
      <c r="D731"/>
      <c r="E731"/>
      <c r="F731"/>
      <c r="G731"/>
      <c r="H731"/>
      <c r="I731"/>
      <c r="J731"/>
    </row>
    <row r="732" spans="1:10" x14ac:dyDescent="0.25">
      <c r="A732"/>
      <c r="B732"/>
      <c r="C732"/>
      <c r="D732"/>
      <c r="E732"/>
      <c r="F732"/>
      <c r="G732"/>
      <c r="H732"/>
      <c r="I732"/>
      <c r="J732"/>
    </row>
    <row r="733" spans="1:10" x14ac:dyDescent="0.25">
      <c r="A733"/>
      <c r="B733"/>
      <c r="C733"/>
      <c r="D733"/>
      <c r="E733"/>
      <c r="F733"/>
      <c r="G733"/>
      <c r="H733"/>
      <c r="I733"/>
      <c r="J733"/>
    </row>
    <row r="734" spans="1:10" x14ac:dyDescent="0.25">
      <c r="A734"/>
      <c r="B734"/>
      <c r="C734"/>
      <c r="D734"/>
      <c r="E734"/>
      <c r="F734"/>
      <c r="G734"/>
      <c r="H734"/>
      <c r="I734"/>
      <c r="J734"/>
    </row>
    <row r="735" spans="1:10" x14ac:dyDescent="0.25">
      <c r="A735"/>
      <c r="B735"/>
      <c r="C735"/>
      <c r="D735"/>
      <c r="E735"/>
      <c r="F735"/>
      <c r="G735"/>
      <c r="H735"/>
      <c r="I735"/>
      <c r="J735"/>
    </row>
    <row r="736" spans="1:10" x14ac:dyDescent="0.25">
      <c r="A736"/>
      <c r="B736"/>
      <c r="C736"/>
      <c r="D736"/>
      <c r="E736"/>
      <c r="F736"/>
      <c r="G736"/>
      <c r="H736"/>
      <c r="I736"/>
      <c r="J736"/>
    </row>
    <row r="737" spans="1:10" x14ac:dyDescent="0.25">
      <c r="A737"/>
      <c r="B737"/>
      <c r="C737"/>
      <c r="D737"/>
      <c r="E737"/>
      <c r="F737"/>
      <c r="G737"/>
      <c r="H737"/>
      <c r="I737"/>
      <c r="J737"/>
    </row>
    <row r="738" spans="1:10" x14ac:dyDescent="0.25">
      <c r="A738"/>
      <c r="B738"/>
      <c r="C738"/>
      <c r="D738"/>
      <c r="E738"/>
      <c r="F738"/>
      <c r="G738"/>
      <c r="H738"/>
      <c r="I738"/>
      <c r="J738"/>
    </row>
    <row r="739" spans="1:10" x14ac:dyDescent="0.25">
      <c r="A739"/>
      <c r="B739"/>
      <c r="C739"/>
      <c r="D739"/>
      <c r="E739"/>
      <c r="F739"/>
      <c r="G739"/>
      <c r="H739"/>
      <c r="I739"/>
      <c r="J739"/>
    </row>
    <row r="740" spans="1:10" x14ac:dyDescent="0.25">
      <c r="A740"/>
      <c r="B740"/>
      <c r="C740"/>
      <c r="D740"/>
      <c r="E740"/>
      <c r="F740"/>
      <c r="G740"/>
      <c r="H740"/>
      <c r="I740"/>
      <c r="J740"/>
    </row>
    <row r="741" spans="1:10" x14ac:dyDescent="0.25">
      <c r="A741"/>
      <c r="B741"/>
      <c r="C741"/>
      <c r="D741"/>
      <c r="E741"/>
      <c r="F741"/>
      <c r="G741"/>
      <c r="H741"/>
      <c r="I741"/>
      <c r="J741"/>
    </row>
    <row r="742" spans="1:10" x14ac:dyDescent="0.25">
      <c r="A742"/>
      <c r="B742"/>
      <c r="C742"/>
      <c r="D742"/>
      <c r="E742"/>
      <c r="F742"/>
      <c r="G742"/>
      <c r="H742"/>
      <c r="I742"/>
      <c r="J742"/>
    </row>
    <row r="743" spans="1:10" x14ac:dyDescent="0.25">
      <c r="A743"/>
      <c r="B743"/>
      <c r="C743"/>
      <c r="D743"/>
      <c r="E743"/>
      <c r="F743"/>
      <c r="G743"/>
      <c r="H743"/>
      <c r="I743"/>
      <c r="J743"/>
    </row>
    <row r="744" spans="1:10" x14ac:dyDescent="0.25">
      <c r="A744"/>
      <c r="B744"/>
      <c r="C744"/>
      <c r="D744"/>
      <c r="E744"/>
      <c r="F744"/>
      <c r="G744"/>
      <c r="H744"/>
      <c r="I744"/>
      <c r="J744"/>
    </row>
    <row r="745" spans="1:10" x14ac:dyDescent="0.25">
      <c r="A745"/>
      <c r="B745"/>
      <c r="C745"/>
      <c r="D745"/>
      <c r="E745"/>
      <c r="F745"/>
      <c r="G745"/>
      <c r="H745"/>
      <c r="I745"/>
      <c r="J745"/>
    </row>
    <row r="746" spans="1:10" x14ac:dyDescent="0.25">
      <c r="A746"/>
      <c r="B746"/>
      <c r="C746"/>
      <c r="D746"/>
      <c r="E746"/>
      <c r="F746"/>
      <c r="G746"/>
      <c r="H746"/>
      <c r="I746"/>
      <c r="J746"/>
    </row>
    <row r="747" spans="1:10" x14ac:dyDescent="0.25">
      <c r="A747"/>
      <c r="B747"/>
      <c r="C747"/>
      <c r="D747"/>
      <c r="E747"/>
      <c r="F747"/>
      <c r="G747"/>
      <c r="H747"/>
      <c r="I747"/>
      <c r="J747"/>
    </row>
    <row r="748" spans="1:10" x14ac:dyDescent="0.25">
      <c r="A748"/>
      <c r="B748"/>
      <c r="C748"/>
      <c r="D748"/>
      <c r="E748"/>
      <c r="F748"/>
      <c r="G748"/>
      <c r="H748"/>
      <c r="I748"/>
      <c r="J748"/>
    </row>
    <row r="749" spans="1:10" x14ac:dyDescent="0.25">
      <c r="A749"/>
      <c r="B749"/>
      <c r="C749"/>
      <c r="D749"/>
      <c r="E749"/>
      <c r="F749"/>
      <c r="G749"/>
      <c r="H749"/>
      <c r="I749"/>
      <c r="J749"/>
    </row>
    <row r="750" spans="1:10" x14ac:dyDescent="0.25">
      <c r="A750"/>
      <c r="B750"/>
      <c r="C750"/>
      <c r="D750"/>
      <c r="E750"/>
      <c r="F750"/>
      <c r="G750"/>
      <c r="H750"/>
      <c r="I750"/>
      <c r="J750"/>
    </row>
    <row r="751" spans="1:10" x14ac:dyDescent="0.25">
      <c r="A751"/>
      <c r="B751"/>
      <c r="C751"/>
      <c r="D751"/>
      <c r="E751"/>
      <c r="F751"/>
      <c r="G751"/>
      <c r="H751"/>
      <c r="I751"/>
      <c r="J751"/>
    </row>
    <row r="752" spans="1:10" x14ac:dyDescent="0.25">
      <c r="A752"/>
      <c r="B752"/>
      <c r="C752"/>
      <c r="D752"/>
      <c r="E752"/>
      <c r="F752"/>
      <c r="G752"/>
      <c r="H752"/>
      <c r="I752"/>
      <c r="J752"/>
    </row>
    <row r="753" spans="1:10" x14ac:dyDescent="0.25">
      <c r="A753"/>
      <c r="B753"/>
      <c r="C753"/>
      <c r="D753"/>
      <c r="E753"/>
      <c r="F753"/>
      <c r="G753"/>
      <c r="H753"/>
      <c r="I753"/>
      <c r="J753"/>
    </row>
    <row r="754" spans="1:10" x14ac:dyDescent="0.25">
      <c r="A754"/>
      <c r="B754"/>
      <c r="C754"/>
      <c r="D754"/>
      <c r="E754"/>
      <c r="F754"/>
      <c r="G754"/>
      <c r="H754"/>
      <c r="I754"/>
      <c r="J754"/>
    </row>
    <row r="755" spans="1:10" x14ac:dyDescent="0.25">
      <c r="A755"/>
      <c r="B755"/>
      <c r="C755"/>
      <c r="D755"/>
      <c r="E755"/>
      <c r="F755"/>
      <c r="G755"/>
      <c r="H755"/>
      <c r="I755"/>
      <c r="J755"/>
    </row>
    <row r="756" spans="1:10" x14ac:dyDescent="0.25">
      <c r="A756"/>
      <c r="B756"/>
      <c r="C756"/>
      <c r="D756"/>
      <c r="E756"/>
      <c r="F756"/>
      <c r="G756"/>
      <c r="H756"/>
      <c r="I756"/>
      <c r="J756"/>
    </row>
    <row r="757" spans="1:10" x14ac:dyDescent="0.25">
      <c r="A757"/>
      <c r="B757"/>
      <c r="C757"/>
      <c r="D757"/>
      <c r="E757"/>
      <c r="F757"/>
      <c r="G757"/>
      <c r="H757"/>
      <c r="I757"/>
      <c r="J757"/>
    </row>
    <row r="758" spans="1:10" x14ac:dyDescent="0.25">
      <c r="A758"/>
      <c r="B758"/>
      <c r="C758"/>
      <c r="D758"/>
      <c r="E758"/>
      <c r="F758"/>
      <c r="G758"/>
      <c r="H758"/>
      <c r="I758"/>
      <c r="J758"/>
    </row>
    <row r="759" spans="1:10" x14ac:dyDescent="0.25">
      <c r="A759"/>
      <c r="B759"/>
      <c r="C759"/>
      <c r="D759"/>
      <c r="E759"/>
      <c r="F759"/>
      <c r="G759"/>
      <c r="H759"/>
      <c r="I759"/>
      <c r="J759"/>
    </row>
    <row r="760" spans="1:10" x14ac:dyDescent="0.25">
      <c r="A760"/>
      <c r="B760"/>
      <c r="C760"/>
      <c r="D760"/>
      <c r="E760"/>
      <c r="F760"/>
      <c r="G760"/>
      <c r="H760"/>
      <c r="I760"/>
      <c r="J760"/>
    </row>
    <row r="761" spans="1:10" x14ac:dyDescent="0.25">
      <c r="A761"/>
      <c r="B761"/>
      <c r="C761"/>
      <c r="D761"/>
      <c r="E761"/>
      <c r="F761"/>
      <c r="G761"/>
      <c r="H761"/>
      <c r="I761"/>
      <c r="J761"/>
    </row>
    <row r="762" spans="1:10" x14ac:dyDescent="0.25">
      <c r="A762"/>
      <c r="B762"/>
      <c r="C762"/>
      <c r="D762"/>
      <c r="E762"/>
      <c r="F762"/>
      <c r="G762"/>
      <c r="H762"/>
      <c r="I762"/>
      <c r="J762"/>
    </row>
    <row r="763" spans="1:10" x14ac:dyDescent="0.25">
      <c r="A763"/>
      <c r="B763"/>
      <c r="C763"/>
      <c r="D763"/>
      <c r="E763"/>
      <c r="F763"/>
      <c r="G763"/>
      <c r="H763"/>
      <c r="I763"/>
      <c r="J763"/>
    </row>
    <row r="764" spans="1:10" x14ac:dyDescent="0.25">
      <c r="A764"/>
      <c r="B764"/>
      <c r="C764"/>
      <c r="D764"/>
      <c r="E764"/>
      <c r="F764"/>
      <c r="G764"/>
      <c r="H764"/>
      <c r="I764"/>
      <c r="J764"/>
    </row>
    <row r="765" spans="1:10" x14ac:dyDescent="0.25">
      <c r="A765"/>
      <c r="B765"/>
      <c r="C765"/>
      <c r="D765"/>
      <c r="E765"/>
      <c r="F765"/>
      <c r="G765"/>
      <c r="H765"/>
      <c r="I765"/>
      <c r="J765"/>
    </row>
    <row r="766" spans="1:10" x14ac:dyDescent="0.25">
      <c r="A766"/>
      <c r="B766"/>
      <c r="C766"/>
      <c r="D766"/>
      <c r="E766"/>
      <c r="F766"/>
      <c r="G766"/>
      <c r="H766"/>
      <c r="I766"/>
      <c r="J766"/>
    </row>
    <row r="767" spans="1:10" x14ac:dyDescent="0.25">
      <c r="A767"/>
      <c r="B767"/>
      <c r="C767"/>
      <c r="D767"/>
      <c r="E767"/>
      <c r="F767"/>
      <c r="G767"/>
      <c r="H767"/>
      <c r="I767"/>
      <c r="J767"/>
    </row>
    <row r="768" spans="1:10" x14ac:dyDescent="0.25">
      <c r="A768"/>
      <c r="B768"/>
      <c r="C768"/>
      <c r="D768"/>
      <c r="E768"/>
      <c r="F768"/>
      <c r="G768"/>
      <c r="H768"/>
      <c r="I768"/>
      <c r="J768"/>
    </row>
    <row r="769" spans="1:10" x14ac:dyDescent="0.25">
      <c r="A769"/>
      <c r="B769"/>
      <c r="C769"/>
      <c r="D769"/>
      <c r="E769"/>
      <c r="F769"/>
      <c r="G769"/>
      <c r="H769"/>
      <c r="I769"/>
      <c r="J769"/>
    </row>
    <row r="770" spans="1:10" x14ac:dyDescent="0.25">
      <c r="A770"/>
      <c r="B770"/>
      <c r="C770"/>
      <c r="D770"/>
      <c r="E770"/>
      <c r="F770"/>
      <c r="G770"/>
      <c r="H770"/>
      <c r="I770"/>
      <c r="J770"/>
    </row>
    <row r="771" spans="1:10" x14ac:dyDescent="0.25">
      <c r="A771"/>
      <c r="B771"/>
      <c r="C771"/>
      <c r="D771"/>
      <c r="E771"/>
      <c r="F771"/>
      <c r="G771"/>
      <c r="H771"/>
      <c r="I771"/>
      <c r="J771"/>
    </row>
    <row r="772" spans="1:10" x14ac:dyDescent="0.25">
      <c r="A772"/>
      <c r="B772"/>
      <c r="C772"/>
      <c r="D772"/>
      <c r="E772"/>
      <c r="F772"/>
      <c r="G772"/>
      <c r="H772"/>
      <c r="I772"/>
      <c r="J772"/>
    </row>
    <row r="773" spans="1:10" x14ac:dyDescent="0.25">
      <c r="A773"/>
      <c r="B773"/>
      <c r="C773"/>
      <c r="D773"/>
      <c r="E773"/>
      <c r="F773"/>
      <c r="G773"/>
      <c r="H773"/>
      <c r="I773"/>
      <c r="J773"/>
    </row>
    <row r="774" spans="1:10" x14ac:dyDescent="0.25">
      <c r="A774"/>
      <c r="B774"/>
      <c r="C774"/>
      <c r="D774"/>
      <c r="E774"/>
      <c r="F774"/>
      <c r="G774"/>
      <c r="H774"/>
      <c r="I774"/>
      <c r="J774"/>
    </row>
    <row r="775" spans="1:10" x14ac:dyDescent="0.25">
      <c r="A775"/>
      <c r="B775"/>
      <c r="C775"/>
      <c r="D775"/>
      <c r="E775"/>
      <c r="F775"/>
      <c r="G775"/>
      <c r="H775"/>
      <c r="I775"/>
      <c r="J775"/>
    </row>
    <row r="776" spans="1:10" x14ac:dyDescent="0.25">
      <c r="A776"/>
      <c r="B776"/>
      <c r="C776"/>
      <c r="D776"/>
      <c r="E776"/>
      <c r="F776"/>
      <c r="G776"/>
      <c r="H776"/>
      <c r="I776"/>
      <c r="J776"/>
    </row>
    <row r="777" spans="1:10" x14ac:dyDescent="0.25">
      <c r="A777"/>
      <c r="B777"/>
      <c r="C777"/>
      <c r="D777"/>
      <c r="E777"/>
      <c r="F777"/>
      <c r="G777"/>
      <c r="H777"/>
      <c r="I777"/>
      <c r="J777"/>
    </row>
    <row r="778" spans="1:10" x14ac:dyDescent="0.25">
      <c r="A778"/>
      <c r="B778"/>
      <c r="C778"/>
      <c r="D778"/>
      <c r="E778"/>
      <c r="F778"/>
      <c r="G778"/>
      <c r="H778"/>
      <c r="I778"/>
      <c r="J778"/>
    </row>
    <row r="779" spans="1:10" x14ac:dyDescent="0.25">
      <c r="A779"/>
      <c r="B779"/>
      <c r="C779"/>
      <c r="D779"/>
      <c r="E779"/>
      <c r="F779"/>
      <c r="G779"/>
      <c r="H779"/>
      <c r="I779"/>
      <c r="J779"/>
    </row>
    <row r="780" spans="1:10" x14ac:dyDescent="0.25">
      <c r="A780"/>
      <c r="B780"/>
      <c r="C780"/>
      <c r="D780"/>
      <c r="E780"/>
      <c r="F780"/>
      <c r="G780"/>
      <c r="H780"/>
      <c r="I780"/>
      <c r="J780"/>
    </row>
    <row r="781" spans="1:10" x14ac:dyDescent="0.25">
      <c r="A781"/>
      <c r="B781"/>
      <c r="C781"/>
      <c r="D781"/>
      <c r="E781"/>
      <c r="F781"/>
      <c r="G781"/>
      <c r="H781"/>
      <c r="I781"/>
      <c r="J781"/>
    </row>
    <row r="782" spans="1:10" x14ac:dyDescent="0.25">
      <c r="A782"/>
      <c r="B782"/>
      <c r="C782"/>
      <c r="D782"/>
      <c r="E782"/>
      <c r="F782"/>
      <c r="G782"/>
      <c r="H782"/>
      <c r="I782"/>
      <c r="J782"/>
    </row>
    <row r="783" spans="1:10" x14ac:dyDescent="0.25">
      <c r="A783"/>
      <c r="B783"/>
      <c r="C783"/>
      <c r="D783"/>
      <c r="E783"/>
      <c r="F783"/>
      <c r="G783"/>
      <c r="H783"/>
      <c r="I783"/>
      <c r="J783"/>
    </row>
    <row r="784" spans="1:10" x14ac:dyDescent="0.25">
      <c r="A784"/>
      <c r="B784"/>
      <c r="C784"/>
      <c r="D784"/>
      <c r="E784"/>
      <c r="F784"/>
      <c r="G784"/>
      <c r="H784"/>
      <c r="I784"/>
      <c r="J784"/>
    </row>
    <row r="785" spans="1:10" x14ac:dyDescent="0.25">
      <c r="A785"/>
      <c r="B785"/>
      <c r="C785"/>
      <c r="D785"/>
      <c r="E785"/>
      <c r="F785"/>
      <c r="G785"/>
      <c r="H785"/>
      <c r="I785"/>
      <c r="J785"/>
    </row>
    <row r="786" spans="1:10" x14ac:dyDescent="0.25">
      <c r="A786"/>
      <c r="B786"/>
      <c r="C786"/>
      <c r="D786"/>
      <c r="E786"/>
      <c r="F786"/>
      <c r="G786"/>
      <c r="H786"/>
      <c r="I786"/>
      <c r="J786"/>
    </row>
    <row r="787" spans="1:10" x14ac:dyDescent="0.25">
      <c r="A787"/>
      <c r="B787"/>
      <c r="C787"/>
      <c r="D787"/>
      <c r="E787"/>
      <c r="F787"/>
      <c r="G787"/>
      <c r="H787"/>
      <c r="I787"/>
      <c r="J787"/>
    </row>
    <row r="788" spans="1:10" x14ac:dyDescent="0.25">
      <c r="A788"/>
      <c r="B788"/>
      <c r="C788"/>
      <c r="D788"/>
      <c r="E788"/>
      <c r="F788"/>
      <c r="G788"/>
      <c r="H788"/>
      <c r="I788"/>
      <c r="J788"/>
    </row>
    <row r="789" spans="1:10" x14ac:dyDescent="0.25">
      <c r="A789"/>
      <c r="B789"/>
      <c r="C789"/>
      <c r="D789"/>
      <c r="E789"/>
      <c r="F789"/>
      <c r="G789"/>
      <c r="H789"/>
      <c r="I789"/>
      <c r="J789"/>
    </row>
    <row r="790" spans="1:10" x14ac:dyDescent="0.25">
      <c r="A790"/>
      <c r="B790"/>
      <c r="C790"/>
      <c r="D790"/>
      <c r="E790"/>
      <c r="F790"/>
      <c r="G790"/>
      <c r="H790"/>
      <c r="I790"/>
      <c r="J790"/>
    </row>
    <row r="791" spans="1:10" x14ac:dyDescent="0.25">
      <c r="A791"/>
      <c r="B791"/>
      <c r="C791"/>
      <c r="D791"/>
      <c r="E791"/>
      <c r="F791"/>
      <c r="G791"/>
      <c r="H791"/>
      <c r="I791"/>
      <c r="J791"/>
    </row>
    <row r="792" spans="1:10" x14ac:dyDescent="0.25">
      <c r="A792"/>
      <c r="B792"/>
      <c r="C792"/>
      <c r="D792"/>
      <c r="E792"/>
      <c r="F792"/>
      <c r="G792"/>
      <c r="H792"/>
      <c r="I792"/>
      <c r="J792"/>
    </row>
    <row r="793" spans="1:10" x14ac:dyDescent="0.25">
      <c r="A793"/>
      <c r="B793"/>
      <c r="C793"/>
      <c r="D793"/>
      <c r="E793"/>
      <c r="F793"/>
      <c r="G793"/>
      <c r="H793"/>
      <c r="I793"/>
      <c r="J793"/>
    </row>
    <row r="794" spans="1:10" x14ac:dyDescent="0.25">
      <c r="A794"/>
      <c r="B794"/>
      <c r="C794"/>
      <c r="D794"/>
      <c r="E794"/>
      <c r="F794"/>
      <c r="G794"/>
      <c r="H794"/>
      <c r="I794"/>
      <c r="J794"/>
    </row>
    <row r="795" spans="1:10" x14ac:dyDescent="0.25">
      <c r="A795"/>
      <c r="B795"/>
      <c r="C795"/>
      <c r="D795"/>
      <c r="E795"/>
      <c r="F795"/>
      <c r="G795"/>
      <c r="H795"/>
      <c r="I795"/>
      <c r="J795"/>
    </row>
    <row r="796" spans="1:10" x14ac:dyDescent="0.25">
      <c r="A796"/>
      <c r="B796"/>
      <c r="C796"/>
      <c r="D796"/>
      <c r="E796"/>
      <c r="F796"/>
      <c r="G796"/>
      <c r="H796"/>
      <c r="I796"/>
      <c r="J796"/>
    </row>
    <row r="797" spans="1:10" x14ac:dyDescent="0.25">
      <c r="A797"/>
      <c r="B797"/>
      <c r="C797"/>
      <c r="D797"/>
      <c r="E797"/>
      <c r="F797"/>
      <c r="G797"/>
      <c r="H797"/>
      <c r="I797"/>
      <c r="J797"/>
    </row>
    <row r="798" spans="1:10" x14ac:dyDescent="0.25">
      <c r="A798"/>
      <c r="B798"/>
      <c r="C798"/>
      <c r="D798"/>
      <c r="E798"/>
      <c r="F798"/>
      <c r="G798"/>
      <c r="H798"/>
      <c r="I798"/>
      <c r="J798"/>
    </row>
    <row r="799" spans="1:10" x14ac:dyDescent="0.25">
      <c r="A799"/>
      <c r="B799"/>
      <c r="C799"/>
      <c r="D799"/>
      <c r="E799"/>
      <c r="F799"/>
      <c r="G799"/>
      <c r="H799"/>
      <c r="I799"/>
      <c r="J799"/>
    </row>
    <row r="800" spans="1:10" x14ac:dyDescent="0.25">
      <c r="A800"/>
      <c r="B800"/>
      <c r="C800"/>
      <c r="D800"/>
      <c r="E800"/>
      <c r="F800"/>
      <c r="G800"/>
      <c r="H800"/>
      <c r="I800"/>
      <c r="J800"/>
    </row>
    <row r="801" spans="1:10" x14ac:dyDescent="0.25">
      <c r="A801"/>
      <c r="B801"/>
      <c r="C801"/>
      <c r="D801"/>
      <c r="E801"/>
      <c r="F801"/>
      <c r="G801"/>
      <c r="H801"/>
      <c r="I801"/>
      <c r="J801"/>
    </row>
    <row r="802" spans="1:10" x14ac:dyDescent="0.25">
      <c r="A802"/>
      <c r="B802"/>
      <c r="C802"/>
      <c r="D802"/>
      <c r="E802"/>
      <c r="F802"/>
      <c r="G802"/>
      <c r="H802"/>
      <c r="I802"/>
      <c r="J802"/>
    </row>
    <row r="803" spans="1:10" x14ac:dyDescent="0.25">
      <c r="A803"/>
      <c r="B803"/>
      <c r="C803"/>
      <c r="D803"/>
      <c r="E803"/>
      <c r="F803"/>
      <c r="G803"/>
      <c r="H803"/>
      <c r="I803"/>
      <c r="J803"/>
    </row>
    <row r="804" spans="1:10" x14ac:dyDescent="0.25">
      <c r="A804"/>
      <c r="B804"/>
      <c r="C804"/>
      <c r="D804"/>
      <c r="E804"/>
      <c r="F804"/>
      <c r="G804"/>
      <c r="H804"/>
      <c r="I804"/>
      <c r="J804"/>
    </row>
    <row r="805" spans="1:10" x14ac:dyDescent="0.25">
      <c r="A805"/>
      <c r="B805"/>
      <c r="C805"/>
      <c r="D805"/>
      <c r="E805"/>
      <c r="F805"/>
      <c r="G805"/>
      <c r="H805"/>
      <c r="I805"/>
      <c r="J805"/>
    </row>
    <row r="806" spans="1:10" x14ac:dyDescent="0.25">
      <c r="A806"/>
      <c r="B806"/>
      <c r="C806"/>
      <c r="D806"/>
      <c r="E806"/>
      <c r="F806"/>
      <c r="G806"/>
      <c r="H806"/>
      <c r="I806"/>
      <c r="J806"/>
    </row>
    <row r="807" spans="1:10" x14ac:dyDescent="0.25">
      <c r="A807"/>
      <c r="B807"/>
      <c r="C807"/>
      <c r="D807"/>
      <c r="E807"/>
      <c r="F807"/>
      <c r="G807"/>
      <c r="H807"/>
      <c r="I807"/>
      <c r="J807"/>
    </row>
    <row r="808" spans="1:10" x14ac:dyDescent="0.25">
      <c r="A808"/>
      <c r="B808"/>
      <c r="C808"/>
      <c r="D808"/>
      <c r="E808"/>
      <c r="F808"/>
      <c r="G808"/>
      <c r="H808"/>
      <c r="I808"/>
      <c r="J808"/>
    </row>
    <row r="809" spans="1:10" x14ac:dyDescent="0.25">
      <c r="A809"/>
      <c r="B809"/>
      <c r="C809"/>
      <c r="D809"/>
      <c r="E809"/>
      <c r="F809"/>
      <c r="G809"/>
      <c r="H809"/>
      <c r="I809"/>
      <c r="J809"/>
    </row>
    <row r="810" spans="1:10" x14ac:dyDescent="0.25">
      <c r="A810"/>
      <c r="B810"/>
      <c r="C810"/>
      <c r="D810"/>
      <c r="E810"/>
      <c r="F810"/>
      <c r="G810"/>
      <c r="H810"/>
      <c r="I810"/>
      <c r="J810"/>
    </row>
    <row r="811" spans="1:10" x14ac:dyDescent="0.25">
      <c r="A811"/>
      <c r="B811"/>
      <c r="C811"/>
      <c r="D811"/>
      <c r="E811"/>
      <c r="F811"/>
      <c r="G811"/>
      <c r="H811"/>
      <c r="I811"/>
      <c r="J811"/>
    </row>
    <row r="812" spans="1:10" x14ac:dyDescent="0.25">
      <c r="A812"/>
      <c r="B812"/>
      <c r="C812"/>
      <c r="D812"/>
      <c r="E812"/>
      <c r="F812"/>
      <c r="G812"/>
      <c r="H812"/>
      <c r="I812"/>
      <c r="J812"/>
    </row>
    <row r="813" spans="1:10" x14ac:dyDescent="0.25">
      <c r="A813"/>
      <c r="B813"/>
      <c r="C813"/>
      <c r="D813"/>
      <c r="E813"/>
      <c r="F813"/>
      <c r="G813"/>
      <c r="H813"/>
      <c r="I813"/>
      <c r="J813"/>
    </row>
    <row r="814" spans="1:10" x14ac:dyDescent="0.25">
      <c r="A814"/>
      <c r="B814"/>
      <c r="C814"/>
      <c r="D814"/>
      <c r="E814"/>
      <c r="F814"/>
      <c r="G814"/>
      <c r="H814"/>
      <c r="I814"/>
      <c r="J814"/>
    </row>
    <row r="815" spans="1:10" x14ac:dyDescent="0.25">
      <c r="A815"/>
      <c r="B815"/>
      <c r="C815"/>
      <c r="D815"/>
      <c r="E815"/>
      <c r="F815"/>
      <c r="G815"/>
      <c r="H815"/>
      <c r="I815"/>
      <c r="J815"/>
    </row>
    <row r="816" spans="1:10" x14ac:dyDescent="0.25">
      <c r="A816"/>
      <c r="B816"/>
      <c r="C816"/>
      <c r="D816"/>
      <c r="E816"/>
      <c r="F816"/>
      <c r="G816"/>
      <c r="H816"/>
      <c r="I816"/>
      <c r="J816"/>
    </row>
    <row r="817" spans="1:10" x14ac:dyDescent="0.25">
      <c r="A817"/>
      <c r="B817"/>
      <c r="C817"/>
      <c r="D817"/>
      <c r="E817"/>
      <c r="F817"/>
      <c r="G817"/>
      <c r="H817"/>
      <c r="I817"/>
      <c r="J817"/>
    </row>
    <row r="818" spans="1:10" x14ac:dyDescent="0.25">
      <c r="A818"/>
      <c r="B818"/>
      <c r="C818"/>
      <c r="D818"/>
      <c r="E818"/>
      <c r="F818"/>
      <c r="G818"/>
      <c r="H818"/>
      <c r="I818"/>
      <c r="J818"/>
    </row>
    <row r="819" spans="1:10" x14ac:dyDescent="0.25">
      <c r="A819"/>
      <c r="B819"/>
      <c r="C819"/>
      <c r="D819"/>
      <c r="E819"/>
      <c r="F819"/>
      <c r="G819"/>
      <c r="H819"/>
      <c r="I819"/>
      <c r="J819"/>
    </row>
    <row r="820" spans="1:10" x14ac:dyDescent="0.25">
      <c r="A820"/>
      <c r="B820"/>
      <c r="C820"/>
      <c r="D820"/>
      <c r="E820"/>
      <c r="F820"/>
      <c r="G820"/>
      <c r="H820"/>
      <c r="I820"/>
      <c r="J820"/>
    </row>
    <row r="821" spans="1:10" x14ac:dyDescent="0.25">
      <c r="A821"/>
      <c r="B821"/>
      <c r="C821"/>
      <c r="D821"/>
      <c r="E821"/>
      <c r="F821"/>
      <c r="G821"/>
      <c r="H821"/>
      <c r="I821"/>
      <c r="J821"/>
    </row>
    <row r="822" spans="1:10" x14ac:dyDescent="0.25">
      <c r="A822"/>
      <c r="B822"/>
      <c r="C822"/>
      <c r="D822"/>
      <c r="E822"/>
      <c r="F822"/>
      <c r="G822"/>
      <c r="H822"/>
      <c r="I822"/>
      <c r="J822"/>
    </row>
    <row r="823" spans="1:10" x14ac:dyDescent="0.25">
      <c r="A823"/>
      <c r="B823"/>
      <c r="C823"/>
      <c r="D823"/>
      <c r="E823"/>
      <c r="F823"/>
      <c r="G823"/>
      <c r="H823"/>
      <c r="I823"/>
      <c r="J823"/>
    </row>
    <row r="824" spans="1:10" x14ac:dyDescent="0.25">
      <c r="A824"/>
      <c r="B824"/>
      <c r="C824"/>
      <c r="D824"/>
      <c r="E824"/>
      <c r="F824"/>
      <c r="G824"/>
      <c r="H824"/>
      <c r="I824"/>
      <c r="J824"/>
    </row>
    <row r="825" spans="1:10" x14ac:dyDescent="0.25">
      <c r="A825"/>
      <c r="B825"/>
      <c r="C825"/>
      <c r="D825"/>
      <c r="E825"/>
      <c r="F825"/>
      <c r="G825"/>
      <c r="H825"/>
      <c r="I825"/>
      <c r="J825"/>
    </row>
    <row r="826" spans="1:10" x14ac:dyDescent="0.25">
      <c r="A826"/>
      <c r="B826"/>
      <c r="C826"/>
      <c r="D826"/>
      <c r="E826"/>
      <c r="F826"/>
      <c r="G826"/>
      <c r="H826"/>
      <c r="I826"/>
      <c r="J826"/>
    </row>
    <row r="827" spans="1:10" x14ac:dyDescent="0.25">
      <c r="A827"/>
      <c r="B827"/>
      <c r="C827"/>
      <c r="D827"/>
      <c r="E827"/>
      <c r="F827"/>
      <c r="G827"/>
      <c r="H827"/>
      <c r="I827"/>
      <c r="J827"/>
    </row>
    <row r="828" spans="1:10" x14ac:dyDescent="0.25">
      <c r="A828"/>
      <c r="B828"/>
      <c r="C828"/>
      <c r="D828"/>
      <c r="E828"/>
      <c r="F828"/>
      <c r="G828"/>
      <c r="H828"/>
      <c r="I828"/>
      <c r="J828"/>
    </row>
    <row r="829" spans="1:10" x14ac:dyDescent="0.25">
      <c r="A829"/>
      <c r="B829"/>
      <c r="C829"/>
      <c r="D829"/>
      <c r="E829"/>
      <c r="F829"/>
      <c r="G829"/>
      <c r="H829"/>
      <c r="I829"/>
      <c r="J829"/>
    </row>
    <row r="830" spans="1:10" x14ac:dyDescent="0.25">
      <c r="A830"/>
      <c r="B830"/>
      <c r="C830"/>
      <c r="D830"/>
      <c r="E830"/>
      <c r="F830"/>
      <c r="G830"/>
      <c r="H830"/>
      <c r="I830"/>
      <c r="J830"/>
    </row>
    <row r="831" spans="1:10" x14ac:dyDescent="0.25">
      <c r="A831"/>
      <c r="B831"/>
      <c r="C831"/>
      <c r="D831"/>
      <c r="E831"/>
      <c r="F831"/>
      <c r="G831"/>
      <c r="H831"/>
      <c r="I831"/>
      <c r="J831"/>
    </row>
    <row r="832" spans="1:10" x14ac:dyDescent="0.25">
      <c r="A832"/>
      <c r="B832"/>
      <c r="C832"/>
      <c r="D832"/>
      <c r="E832"/>
      <c r="F832"/>
      <c r="G832"/>
      <c r="H832"/>
      <c r="I832"/>
      <c r="J832"/>
    </row>
    <row r="833" spans="1:10" x14ac:dyDescent="0.25">
      <c r="A833"/>
      <c r="B833"/>
      <c r="C833"/>
      <c r="D833"/>
      <c r="E833"/>
      <c r="F833"/>
      <c r="G833"/>
      <c r="H833"/>
      <c r="I833"/>
      <c r="J833"/>
    </row>
    <row r="834" spans="1:10" x14ac:dyDescent="0.25">
      <c r="A834"/>
      <c r="B834"/>
      <c r="C834"/>
      <c r="D834"/>
      <c r="E834"/>
      <c r="F834"/>
      <c r="G834"/>
      <c r="H834"/>
      <c r="I834"/>
      <c r="J834"/>
    </row>
    <row r="835" spans="1:10" x14ac:dyDescent="0.25">
      <c r="A835"/>
      <c r="B835"/>
      <c r="C835"/>
      <c r="D835"/>
      <c r="E835"/>
      <c r="F835"/>
      <c r="G835"/>
      <c r="H835"/>
      <c r="I835"/>
      <c r="J835"/>
    </row>
    <row r="836" spans="1:10" x14ac:dyDescent="0.25">
      <c r="A836"/>
      <c r="B836"/>
      <c r="C836"/>
      <c r="D836"/>
      <c r="E836"/>
      <c r="F836"/>
      <c r="G836"/>
      <c r="H836"/>
      <c r="I836"/>
      <c r="J836"/>
    </row>
    <row r="837" spans="1:10" x14ac:dyDescent="0.25">
      <c r="A837"/>
      <c r="B837"/>
      <c r="C837"/>
      <c r="D837"/>
      <c r="E837"/>
      <c r="F837"/>
      <c r="G837"/>
      <c r="H837"/>
      <c r="I837"/>
      <c r="J837"/>
    </row>
    <row r="838" spans="1:10" x14ac:dyDescent="0.25">
      <c r="A838"/>
      <c r="B838"/>
      <c r="C838"/>
      <c r="D838"/>
      <c r="E838"/>
      <c r="F838"/>
      <c r="G838"/>
      <c r="H838"/>
      <c r="I838"/>
      <c r="J838"/>
    </row>
    <row r="839" spans="1:10" x14ac:dyDescent="0.25">
      <c r="A839"/>
      <c r="B839"/>
      <c r="C839"/>
      <c r="D839"/>
      <c r="E839"/>
      <c r="F839"/>
      <c r="G839"/>
      <c r="H839"/>
      <c r="I839"/>
      <c r="J839"/>
    </row>
    <row r="840" spans="1:10" x14ac:dyDescent="0.25">
      <c r="A840"/>
      <c r="B840"/>
      <c r="C840"/>
      <c r="D840"/>
      <c r="E840"/>
      <c r="F840"/>
      <c r="G840"/>
      <c r="H840"/>
      <c r="I840"/>
      <c r="J840"/>
    </row>
    <row r="841" spans="1:10" x14ac:dyDescent="0.25">
      <c r="A841"/>
      <c r="B841"/>
      <c r="C841"/>
      <c r="D841"/>
      <c r="E841"/>
      <c r="F841"/>
      <c r="G841"/>
      <c r="H841"/>
      <c r="I841"/>
      <c r="J841"/>
    </row>
    <row r="842" spans="1:10" x14ac:dyDescent="0.25">
      <c r="A842"/>
      <c r="B842"/>
      <c r="C842"/>
      <c r="D842"/>
      <c r="E842"/>
      <c r="F842"/>
      <c r="G842"/>
      <c r="H842"/>
      <c r="I842"/>
      <c r="J842"/>
    </row>
    <row r="843" spans="1:10" x14ac:dyDescent="0.25">
      <c r="A843"/>
      <c r="B843"/>
      <c r="C843"/>
      <c r="D843"/>
      <c r="E843"/>
      <c r="F843"/>
      <c r="G843"/>
      <c r="H843"/>
      <c r="I843"/>
      <c r="J843"/>
    </row>
    <row r="844" spans="1:10" x14ac:dyDescent="0.25">
      <c r="A844"/>
      <c r="B844"/>
      <c r="C844"/>
      <c r="D844"/>
      <c r="E844"/>
      <c r="F844"/>
      <c r="G844"/>
      <c r="H844"/>
      <c r="I844"/>
      <c r="J844"/>
    </row>
    <row r="845" spans="1:10" x14ac:dyDescent="0.25">
      <c r="A845"/>
      <c r="B845"/>
      <c r="C845"/>
      <c r="D845"/>
      <c r="E845"/>
      <c r="F845"/>
      <c r="G845"/>
      <c r="H845"/>
      <c r="I845"/>
      <c r="J845"/>
    </row>
    <row r="846" spans="1:10" x14ac:dyDescent="0.25">
      <c r="A846"/>
      <c r="B846"/>
      <c r="C846"/>
      <c r="D846"/>
      <c r="E846"/>
      <c r="F846"/>
      <c r="G846"/>
      <c r="H846"/>
      <c r="I846"/>
      <c r="J846"/>
    </row>
    <row r="847" spans="1:10" x14ac:dyDescent="0.25">
      <c r="A847"/>
      <c r="B847"/>
      <c r="C847"/>
      <c r="D847"/>
      <c r="E847"/>
      <c r="F847"/>
      <c r="G847"/>
      <c r="H847"/>
      <c r="I847"/>
      <c r="J847"/>
    </row>
    <row r="848" spans="1:10" x14ac:dyDescent="0.25">
      <c r="A848"/>
      <c r="B848"/>
      <c r="C848"/>
      <c r="D848"/>
      <c r="E848"/>
      <c r="F848"/>
      <c r="G848"/>
      <c r="H848"/>
      <c r="I848"/>
      <c r="J848"/>
    </row>
    <row r="849" spans="1:10" x14ac:dyDescent="0.25">
      <c r="A849"/>
      <c r="B849"/>
      <c r="C849"/>
      <c r="D849"/>
      <c r="E849"/>
      <c r="F849"/>
      <c r="G849"/>
      <c r="H849"/>
      <c r="I849"/>
      <c r="J849"/>
    </row>
    <row r="850" spans="1:10" x14ac:dyDescent="0.25">
      <c r="A850"/>
      <c r="B850"/>
      <c r="C850"/>
      <c r="D850"/>
      <c r="E850"/>
      <c r="F850"/>
      <c r="G850"/>
      <c r="H850"/>
      <c r="I850"/>
      <c r="J850"/>
    </row>
    <row r="851" spans="1:10" x14ac:dyDescent="0.25">
      <c r="A851"/>
      <c r="B851"/>
      <c r="C851"/>
      <c r="D851"/>
      <c r="E851"/>
      <c r="F851"/>
      <c r="G851"/>
      <c r="H851"/>
      <c r="I851"/>
      <c r="J851"/>
    </row>
    <row r="852" spans="1:10" x14ac:dyDescent="0.25">
      <c r="A852"/>
      <c r="B852"/>
      <c r="C852"/>
      <c r="D852"/>
      <c r="E852"/>
      <c r="F852"/>
      <c r="G852"/>
      <c r="H852"/>
      <c r="I852"/>
      <c r="J852"/>
    </row>
    <row r="853" spans="1:10" x14ac:dyDescent="0.25">
      <c r="A853"/>
      <c r="B853"/>
      <c r="C853"/>
      <c r="D853"/>
      <c r="E853"/>
      <c r="F853"/>
      <c r="G853"/>
      <c r="H853"/>
      <c r="I853"/>
      <c r="J853"/>
    </row>
    <row r="854" spans="1:10" x14ac:dyDescent="0.25">
      <c r="A854"/>
      <c r="B854"/>
      <c r="C854"/>
      <c r="D854"/>
      <c r="E854"/>
      <c r="F854"/>
      <c r="G854"/>
      <c r="H854"/>
      <c r="I854"/>
      <c r="J854"/>
    </row>
    <row r="855" spans="1:10" x14ac:dyDescent="0.25">
      <c r="A855"/>
      <c r="B855"/>
      <c r="C855"/>
      <c r="D855"/>
      <c r="E855"/>
      <c r="F855"/>
      <c r="G855"/>
      <c r="H855"/>
      <c r="I855"/>
      <c r="J855"/>
    </row>
    <row r="856" spans="1:10" x14ac:dyDescent="0.25">
      <c r="A856"/>
      <c r="B856"/>
      <c r="C856"/>
      <c r="D856"/>
      <c r="E856"/>
      <c r="F856"/>
      <c r="G856"/>
      <c r="H856"/>
      <c r="I856"/>
      <c r="J856"/>
    </row>
    <row r="857" spans="1:10" x14ac:dyDescent="0.25">
      <c r="A857"/>
      <c r="B857"/>
      <c r="C857"/>
      <c r="D857"/>
      <c r="E857"/>
      <c r="F857"/>
      <c r="G857"/>
      <c r="H857"/>
      <c r="I857"/>
      <c r="J857"/>
    </row>
    <row r="858" spans="1:10" x14ac:dyDescent="0.25">
      <c r="A858"/>
      <c r="B858"/>
      <c r="C858"/>
      <c r="D858"/>
      <c r="E858"/>
      <c r="F858"/>
      <c r="G858"/>
      <c r="H858"/>
      <c r="I858"/>
      <c r="J858"/>
    </row>
    <row r="859" spans="1:10" x14ac:dyDescent="0.25">
      <c r="A859"/>
      <c r="B859"/>
      <c r="C859"/>
      <c r="D859"/>
      <c r="E859"/>
      <c r="F859"/>
      <c r="G859"/>
      <c r="H859"/>
      <c r="I859"/>
      <c r="J859"/>
    </row>
    <row r="860" spans="1:10" x14ac:dyDescent="0.25">
      <c r="A860"/>
      <c r="B860"/>
      <c r="C860"/>
      <c r="D860"/>
      <c r="E860"/>
      <c r="F860"/>
      <c r="G860"/>
      <c r="H860"/>
      <c r="I860"/>
      <c r="J860"/>
    </row>
    <row r="861" spans="1:10" x14ac:dyDescent="0.25">
      <c r="A861"/>
      <c r="B861"/>
      <c r="C861"/>
      <c r="D861"/>
      <c r="E861"/>
      <c r="F861"/>
      <c r="G861"/>
      <c r="H861"/>
      <c r="I861"/>
      <c r="J861"/>
    </row>
    <row r="862" spans="1:10" x14ac:dyDescent="0.25">
      <c r="A862"/>
      <c r="B862"/>
      <c r="C862"/>
      <c r="D862"/>
      <c r="E862"/>
      <c r="F862"/>
      <c r="G862"/>
      <c r="H862"/>
      <c r="I862"/>
      <c r="J862"/>
    </row>
    <row r="863" spans="1:10" x14ac:dyDescent="0.25">
      <c r="A863"/>
      <c r="B863"/>
      <c r="C863"/>
      <c r="D863"/>
      <c r="E863"/>
      <c r="F863"/>
      <c r="G863"/>
      <c r="H863"/>
      <c r="I863"/>
      <c r="J863"/>
    </row>
    <row r="864" spans="1:10" x14ac:dyDescent="0.25">
      <c r="A864"/>
      <c r="B864"/>
      <c r="C864"/>
      <c r="D864"/>
      <c r="E864"/>
      <c r="F864"/>
      <c r="G864"/>
      <c r="H864"/>
      <c r="I864"/>
      <c r="J864"/>
    </row>
    <row r="865" spans="1:10" x14ac:dyDescent="0.25">
      <c r="A865"/>
      <c r="B865"/>
      <c r="C865"/>
      <c r="D865"/>
      <c r="E865"/>
      <c r="F865"/>
      <c r="G865"/>
      <c r="H865"/>
      <c r="I865"/>
      <c r="J865"/>
    </row>
    <row r="866" spans="1:10" x14ac:dyDescent="0.25">
      <c r="A866"/>
      <c r="B866"/>
      <c r="C866"/>
      <c r="D866"/>
      <c r="E866"/>
      <c r="F866"/>
      <c r="G866"/>
      <c r="H866"/>
      <c r="I866"/>
      <c r="J866"/>
    </row>
    <row r="867" spans="1:10" x14ac:dyDescent="0.25">
      <c r="A867"/>
      <c r="B867"/>
      <c r="C867"/>
      <c r="D867"/>
      <c r="E867"/>
      <c r="F867"/>
      <c r="G867"/>
      <c r="H867"/>
      <c r="I867"/>
      <c r="J867"/>
    </row>
    <row r="868" spans="1:10" x14ac:dyDescent="0.25">
      <c r="A868"/>
      <c r="B868"/>
      <c r="C868"/>
      <c r="D868"/>
      <c r="E868"/>
      <c r="F868"/>
      <c r="G868"/>
      <c r="H868"/>
      <c r="I868"/>
      <c r="J868"/>
    </row>
    <row r="869" spans="1:10" x14ac:dyDescent="0.25">
      <c r="A869"/>
      <c r="B869"/>
      <c r="C869"/>
      <c r="D869"/>
      <c r="E869"/>
      <c r="F869"/>
      <c r="G869"/>
      <c r="H869"/>
      <c r="I869"/>
      <c r="J869"/>
    </row>
    <row r="870" spans="1:10" x14ac:dyDescent="0.25">
      <c r="A870"/>
      <c r="B870"/>
      <c r="C870"/>
      <c r="D870"/>
      <c r="E870"/>
      <c r="F870"/>
      <c r="G870"/>
      <c r="H870"/>
      <c r="I870"/>
      <c r="J870"/>
    </row>
    <row r="871" spans="1:10" x14ac:dyDescent="0.25">
      <c r="A871"/>
      <c r="B871"/>
      <c r="C871"/>
      <c r="D871"/>
      <c r="E871"/>
      <c r="F871"/>
      <c r="G871"/>
      <c r="H871"/>
      <c r="I871"/>
      <c r="J871"/>
    </row>
    <row r="872" spans="1:10" x14ac:dyDescent="0.25">
      <c r="A872"/>
      <c r="B872"/>
      <c r="C872"/>
      <c r="D872"/>
      <c r="E872"/>
      <c r="F872"/>
      <c r="G872"/>
      <c r="H872"/>
      <c r="I872"/>
      <c r="J872"/>
    </row>
    <row r="873" spans="1:10" x14ac:dyDescent="0.25">
      <c r="A873"/>
      <c r="B873"/>
      <c r="C873"/>
      <c r="D873"/>
      <c r="E873"/>
      <c r="F873"/>
      <c r="G873"/>
      <c r="H873"/>
      <c r="I873"/>
      <c r="J873"/>
    </row>
    <row r="874" spans="1:10" x14ac:dyDescent="0.25">
      <c r="A874"/>
      <c r="B874"/>
      <c r="C874"/>
      <c r="D874"/>
      <c r="E874"/>
      <c r="F874"/>
      <c r="G874"/>
      <c r="H874"/>
      <c r="I874"/>
      <c r="J874"/>
    </row>
    <row r="875" spans="1:10" x14ac:dyDescent="0.25">
      <c r="A875"/>
      <c r="B875"/>
      <c r="C875"/>
      <c r="D875"/>
      <c r="E875"/>
      <c r="F875"/>
      <c r="G875"/>
      <c r="H875"/>
      <c r="I875"/>
      <c r="J875"/>
    </row>
    <row r="876" spans="1:10" x14ac:dyDescent="0.25">
      <c r="A876"/>
      <c r="B876"/>
      <c r="C876"/>
      <c r="D876"/>
      <c r="E876"/>
      <c r="F876"/>
      <c r="G876"/>
      <c r="H876"/>
      <c r="I876"/>
      <c r="J876"/>
    </row>
    <row r="877" spans="1:10" x14ac:dyDescent="0.25">
      <c r="A877"/>
      <c r="B877"/>
      <c r="C877"/>
      <c r="D877"/>
      <c r="E877"/>
      <c r="F877"/>
      <c r="G877"/>
      <c r="H877"/>
      <c r="I877"/>
      <c r="J877"/>
    </row>
    <row r="878" spans="1:10" x14ac:dyDescent="0.25">
      <c r="A878"/>
      <c r="B878"/>
      <c r="C878"/>
      <c r="D878"/>
      <c r="E878"/>
      <c r="F878"/>
      <c r="G878"/>
      <c r="H878"/>
      <c r="I878"/>
      <c r="J878"/>
    </row>
    <row r="879" spans="1:10" x14ac:dyDescent="0.25">
      <c r="A879"/>
      <c r="B879"/>
      <c r="C879"/>
      <c r="D879"/>
      <c r="E879"/>
      <c r="F879"/>
      <c r="G879"/>
      <c r="H879"/>
      <c r="I879"/>
      <c r="J879"/>
    </row>
    <row r="880" spans="1:10" x14ac:dyDescent="0.25">
      <c r="A880"/>
      <c r="B880"/>
      <c r="C880"/>
      <c r="D880"/>
      <c r="E880"/>
      <c r="F880"/>
      <c r="G880"/>
      <c r="H880"/>
      <c r="I880"/>
      <c r="J880"/>
    </row>
    <row r="881" spans="1:10" x14ac:dyDescent="0.25">
      <c r="A881"/>
      <c r="B881"/>
      <c r="C881"/>
      <c r="D881"/>
      <c r="E881"/>
      <c r="F881"/>
      <c r="G881"/>
      <c r="H881"/>
      <c r="I881"/>
      <c r="J881"/>
    </row>
    <row r="882" spans="1:10" x14ac:dyDescent="0.25">
      <c r="A882"/>
      <c r="B882"/>
      <c r="C882"/>
      <c r="D882"/>
      <c r="E882"/>
      <c r="F882"/>
      <c r="G882"/>
      <c r="H882"/>
      <c r="I882"/>
      <c r="J882"/>
    </row>
    <row r="883" spans="1:10" x14ac:dyDescent="0.25">
      <c r="A883"/>
      <c r="B883"/>
      <c r="C883"/>
      <c r="D883"/>
      <c r="E883"/>
      <c r="F883"/>
      <c r="G883"/>
      <c r="H883"/>
      <c r="I883"/>
      <c r="J883"/>
    </row>
    <row r="884" spans="1:10" x14ac:dyDescent="0.25">
      <c r="A884"/>
      <c r="B884"/>
      <c r="C884"/>
      <c r="D884"/>
      <c r="E884"/>
      <c r="F884"/>
      <c r="G884"/>
      <c r="H884"/>
      <c r="I884"/>
      <c r="J884"/>
    </row>
    <row r="885" spans="1:10" x14ac:dyDescent="0.25">
      <c r="A885"/>
      <c r="B885"/>
      <c r="C885"/>
      <c r="D885"/>
      <c r="E885"/>
      <c r="F885"/>
      <c r="G885"/>
      <c r="H885"/>
      <c r="I885"/>
      <c r="J885"/>
    </row>
    <row r="886" spans="1:10" x14ac:dyDescent="0.25">
      <c r="A886"/>
      <c r="B886"/>
      <c r="C886"/>
      <c r="D886"/>
      <c r="E886"/>
      <c r="F886"/>
      <c r="G886"/>
      <c r="H886"/>
      <c r="I886"/>
      <c r="J886"/>
    </row>
    <row r="887" spans="1:10" x14ac:dyDescent="0.25">
      <c r="A887"/>
      <c r="B887"/>
      <c r="C887"/>
      <c r="D887"/>
      <c r="E887"/>
      <c r="F887"/>
      <c r="G887"/>
      <c r="H887"/>
      <c r="I887"/>
      <c r="J887"/>
    </row>
    <row r="888" spans="1:10" x14ac:dyDescent="0.25">
      <c r="A888"/>
      <c r="B888"/>
      <c r="C888"/>
      <c r="D888"/>
      <c r="E888"/>
      <c r="F888"/>
      <c r="G888"/>
      <c r="H888"/>
      <c r="I888"/>
      <c r="J888"/>
    </row>
    <row r="889" spans="1:10" x14ac:dyDescent="0.25">
      <c r="A889"/>
      <c r="B889"/>
      <c r="C889"/>
      <c r="D889"/>
      <c r="E889"/>
      <c r="F889"/>
      <c r="G889"/>
      <c r="H889"/>
      <c r="I889"/>
      <c r="J889"/>
    </row>
    <row r="890" spans="1:10" x14ac:dyDescent="0.25">
      <c r="A890"/>
      <c r="B890"/>
      <c r="C890"/>
      <c r="D890"/>
      <c r="E890"/>
      <c r="F890"/>
      <c r="G890"/>
      <c r="H890"/>
      <c r="I890"/>
      <c r="J890"/>
    </row>
    <row r="891" spans="1:10" x14ac:dyDescent="0.25">
      <c r="A891"/>
      <c r="B891"/>
      <c r="C891"/>
      <c r="D891"/>
      <c r="E891"/>
      <c r="F891"/>
      <c r="G891"/>
      <c r="H891"/>
      <c r="I891"/>
      <c r="J891"/>
    </row>
    <row r="892" spans="1:10" x14ac:dyDescent="0.25">
      <c r="A892"/>
      <c r="B892"/>
      <c r="C892"/>
      <c r="D892"/>
      <c r="E892"/>
      <c r="F892"/>
      <c r="G892"/>
      <c r="H892"/>
      <c r="I892"/>
      <c r="J892"/>
    </row>
    <row r="893" spans="1:10" x14ac:dyDescent="0.25">
      <c r="A893"/>
      <c r="B893"/>
      <c r="C893"/>
      <c r="D893"/>
      <c r="E893"/>
      <c r="F893"/>
      <c r="G893"/>
      <c r="H893"/>
      <c r="I893"/>
      <c r="J893"/>
    </row>
    <row r="894" spans="1:10" x14ac:dyDescent="0.25">
      <c r="A894"/>
      <c r="B894"/>
      <c r="C894"/>
      <c r="D894"/>
      <c r="E894"/>
      <c r="F894"/>
      <c r="G894"/>
      <c r="H894"/>
      <c r="I894"/>
      <c r="J894"/>
    </row>
    <row r="895" spans="1:10" x14ac:dyDescent="0.25">
      <c r="A895"/>
      <c r="B895"/>
      <c r="C895"/>
      <c r="D895"/>
      <c r="E895"/>
      <c r="F895"/>
      <c r="G895"/>
      <c r="H895"/>
      <c r="I895"/>
      <c r="J895"/>
    </row>
    <row r="896" spans="1:10" x14ac:dyDescent="0.25">
      <c r="A896"/>
      <c r="B896"/>
      <c r="C896"/>
      <c r="D896"/>
      <c r="E896"/>
      <c r="F896"/>
      <c r="G896"/>
      <c r="H896"/>
      <c r="I896"/>
      <c r="J896"/>
    </row>
    <row r="897" spans="1:10" x14ac:dyDescent="0.25">
      <c r="A897"/>
      <c r="B897"/>
      <c r="C897"/>
      <c r="D897"/>
      <c r="E897"/>
      <c r="F897"/>
      <c r="G897"/>
      <c r="H897"/>
      <c r="I897"/>
      <c r="J897"/>
    </row>
    <row r="898" spans="1:10" x14ac:dyDescent="0.25">
      <c r="A898"/>
      <c r="B898"/>
      <c r="C898"/>
      <c r="D898"/>
      <c r="E898"/>
      <c r="F898"/>
      <c r="G898"/>
      <c r="H898"/>
      <c r="I898"/>
      <c r="J898"/>
    </row>
    <row r="899" spans="1:10" x14ac:dyDescent="0.25">
      <c r="A899"/>
      <c r="B899"/>
      <c r="C899"/>
      <c r="D899"/>
      <c r="E899"/>
      <c r="F899"/>
      <c r="G899"/>
      <c r="H899"/>
      <c r="I899"/>
      <c r="J899"/>
    </row>
    <row r="900" spans="1:10" x14ac:dyDescent="0.25">
      <c r="A900"/>
      <c r="B900"/>
      <c r="C900"/>
      <c r="D900"/>
      <c r="E900"/>
      <c r="F900"/>
      <c r="G900"/>
      <c r="H900"/>
      <c r="I900"/>
      <c r="J900"/>
    </row>
    <row r="901" spans="1:10" x14ac:dyDescent="0.25">
      <c r="A901"/>
      <c r="B901"/>
      <c r="C901"/>
      <c r="D901"/>
      <c r="E901"/>
      <c r="F901"/>
      <c r="G901"/>
      <c r="H901"/>
      <c r="I901"/>
      <c r="J901"/>
    </row>
    <row r="902" spans="1:10" x14ac:dyDescent="0.25">
      <c r="A902"/>
      <c r="B902"/>
      <c r="C902"/>
      <c r="D902"/>
      <c r="E902"/>
      <c r="F902"/>
      <c r="G902"/>
      <c r="H902"/>
      <c r="I902"/>
      <c r="J902"/>
    </row>
    <row r="903" spans="1:10" x14ac:dyDescent="0.25">
      <c r="A903"/>
      <c r="B903"/>
      <c r="C903"/>
      <c r="D903"/>
      <c r="E903"/>
      <c r="F903"/>
      <c r="G903"/>
      <c r="H903"/>
      <c r="I903"/>
      <c r="J903"/>
    </row>
    <row r="904" spans="1:10" x14ac:dyDescent="0.25">
      <c r="A904"/>
      <c r="B904"/>
      <c r="C904"/>
      <c r="D904"/>
      <c r="E904"/>
      <c r="F904"/>
      <c r="G904"/>
      <c r="H904"/>
      <c r="I904"/>
      <c r="J904"/>
    </row>
    <row r="905" spans="1:10" x14ac:dyDescent="0.25">
      <c r="A905"/>
      <c r="B905"/>
      <c r="C905"/>
      <c r="D905"/>
      <c r="E905"/>
      <c r="F905"/>
      <c r="G905"/>
      <c r="H905"/>
      <c r="I905"/>
      <c r="J905"/>
    </row>
    <row r="906" spans="1:10" x14ac:dyDescent="0.25">
      <c r="A906"/>
      <c r="B906"/>
      <c r="C906"/>
      <c r="D906"/>
      <c r="E906"/>
      <c r="F906"/>
      <c r="G906"/>
      <c r="H906"/>
      <c r="I906"/>
      <c r="J906"/>
    </row>
    <row r="907" spans="1:10" x14ac:dyDescent="0.25">
      <c r="A907"/>
      <c r="B907"/>
      <c r="C907"/>
      <c r="D907"/>
      <c r="E907"/>
      <c r="F907"/>
      <c r="G907"/>
      <c r="H907"/>
      <c r="I907"/>
      <c r="J907"/>
    </row>
    <row r="908" spans="1:10" x14ac:dyDescent="0.25">
      <c r="A908"/>
      <c r="B908"/>
      <c r="C908"/>
      <c r="D908"/>
      <c r="E908"/>
      <c r="F908"/>
      <c r="G908"/>
      <c r="H908"/>
      <c r="I908"/>
      <c r="J908"/>
    </row>
    <row r="909" spans="1:10" x14ac:dyDescent="0.25">
      <c r="A909"/>
      <c r="B909"/>
      <c r="C909"/>
      <c r="D909"/>
      <c r="E909"/>
      <c r="F909"/>
      <c r="G909"/>
      <c r="H909"/>
      <c r="I909"/>
      <c r="J909"/>
    </row>
    <row r="910" spans="1:10" x14ac:dyDescent="0.25">
      <c r="A910"/>
      <c r="B910"/>
      <c r="C910"/>
      <c r="D910"/>
      <c r="E910"/>
      <c r="F910"/>
      <c r="G910"/>
      <c r="H910"/>
      <c r="I910"/>
      <c r="J910"/>
    </row>
    <row r="911" spans="1:10" x14ac:dyDescent="0.25">
      <c r="A911"/>
      <c r="B911"/>
      <c r="C911"/>
      <c r="D911"/>
      <c r="E911"/>
      <c r="F911"/>
      <c r="G911"/>
      <c r="H911"/>
      <c r="I911"/>
      <c r="J911"/>
    </row>
    <row r="912" spans="1:10" x14ac:dyDescent="0.25">
      <c r="A912"/>
      <c r="B912"/>
      <c r="C912"/>
      <c r="D912"/>
      <c r="E912"/>
      <c r="F912"/>
      <c r="G912"/>
      <c r="H912"/>
      <c r="I912"/>
      <c r="J912"/>
    </row>
    <row r="913" spans="1:10" x14ac:dyDescent="0.25">
      <c r="A913"/>
      <c r="B913"/>
      <c r="C913"/>
      <c r="D913"/>
      <c r="E913"/>
      <c r="F913"/>
      <c r="G913"/>
      <c r="H913"/>
      <c r="I913"/>
      <c r="J913"/>
    </row>
    <row r="914" spans="1:10" x14ac:dyDescent="0.25">
      <c r="A914"/>
      <c r="B914"/>
      <c r="C914"/>
      <c r="D914"/>
      <c r="E914"/>
      <c r="F914"/>
      <c r="G914"/>
      <c r="H914"/>
      <c r="I914"/>
      <c r="J914"/>
    </row>
    <row r="915" spans="1:10" x14ac:dyDescent="0.25">
      <c r="A915"/>
      <c r="B915"/>
      <c r="C915"/>
      <c r="D915"/>
      <c r="E915"/>
      <c r="F915"/>
      <c r="G915"/>
      <c r="H915"/>
      <c r="I915"/>
      <c r="J915"/>
    </row>
    <row r="916" spans="1:10" x14ac:dyDescent="0.25">
      <c r="A916"/>
      <c r="B916"/>
      <c r="C916"/>
      <c r="D916"/>
      <c r="E916"/>
      <c r="F916"/>
      <c r="G916"/>
      <c r="H916"/>
      <c r="I916"/>
      <c r="J916"/>
    </row>
    <row r="917" spans="1:10" x14ac:dyDescent="0.25">
      <c r="A917"/>
      <c r="B917"/>
      <c r="C917"/>
      <c r="D917"/>
      <c r="E917"/>
      <c r="F917"/>
      <c r="G917"/>
      <c r="H917"/>
      <c r="I917"/>
      <c r="J917"/>
    </row>
    <row r="918" spans="1:10" x14ac:dyDescent="0.25">
      <c r="A918"/>
      <c r="B918"/>
      <c r="C918"/>
      <c r="D918"/>
      <c r="E918"/>
      <c r="F918"/>
      <c r="G918"/>
      <c r="H918"/>
      <c r="I918"/>
      <c r="J918"/>
    </row>
    <row r="919" spans="1:10" x14ac:dyDescent="0.25">
      <c r="A919"/>
      <c r="B919"/>
      <c r="C919"/>
      <c r="D919"/>
      <c r="E919"/>
      <c r="F919"/>
      <c r="G919"/>
      <c r="H919"/>
      <c r="I919"/>
      <c r="J919"/>
    </row>
    <row r="920" spans="1:10" x14ac:dyDescent="0.25">
      <c r="A920"/>
      <c r="B920"/>
      <c r="C920"/>
      <c r="D920"/>
      <c r="E920"/>
      <c r="F920"/>
      <c r="G920"/>
      <c r="H920"/>
      <c r="I920"/>
      <c r="J920"/>
    </row>
    <row r="921" spans="1:10" x14ac:dyDescent="0.25">
      <c r="A921"/>
      <c r="B921"/>
      <c r="C921"/>
      <c r="D921"/>
      <c r="E921"/>
      <c r="F921"/>
      <c r="G921"/>
      <c r="H921"/>
      <c r="I921"/>
      <c r="J921"/>
    </row>
    <row r="922" spans="1:10" x14ac:dyDescent="0.25">
      <c r="A922"/>
      <c r="B922"/>
      <c r="C922"/>
      <c r="D922"/>
      <c r="E922"/>
      <c r="F922"/>
      <c r="G922"/>
      <c r="H922"/>
      <c r="I922"/>
      <c r="J922"/>
    </row>
    <row r="923" spans="1:10" x14ac:dyDescent="0.25">
      <c r="A923"/>
      <c r="B923"/>
      <c r="C923"/>
      <c r="D923"/>
      <c r="E923"/>
      <c r="F923"/>
      <c r="G923"/>
      <c r="H923"/>
      <c r="I923"/>
      <c r="J923"/>
    </row>
    <row r="924" spans="1:10" x14ac:dyDescent="0.25">
      <c r="A924"/>
      <c r="B924"/>
      <c r="C924"/>
      <c r="D924"/>
      <c r="E924"/>
      <c r="F924"/>
      <c r="G924"/>
      <c r="H924"/>
      <c r="I924"/>
      <c r="J924"/>
    </row>
    <row r="925" spans="1:10" x14ac:dyDescent="0.25">
      <c r="A925"/>
      <c r="B925"/>
      <c r="C925"/>
      <c r="D925"/>
      <c r="E925"/>
      <c r="F925"/>
      <c r="G925"/>
      <c r="H925"/>
      <c r="I925"/>
      <c r="J925"/>
    </row>
    <row r="926" spans="1:10" x14ac:dyDescent="0.25">
      <c r="A926"/>
      <c r="B926"/>
      <c r="C926"/>
      <c r="D926"/>
      <c r="E926"/>
      <c r="F926"/>
      <c r="G926"/>
      <c r="H926"/>
      <c r="I926"/>
      <c r="J926"/>
    </row>
    <row r="927" spans="1:10" x14ac:dyDescent="0.25">
      <c r="A927"/>
      <c r="B927"/>
      <c r="C927"/>
      <c r="D927"/>
      <c r="E927"/>
      <c r="F927"/>
      <c r="G927"/>
      <c r="H927"/>
      <c r="I927"/>
      <c r="J927"/>
    </row>
    <row r="928" spans="1:10" x14ac:dyDescent="0.25">
      <c r="A928"/>
      <c r="B928"/>
      <c r="C928"/>
      <c r="D928"/>
      <c r="E928"/>
      <c r="F928"/>
      <c r="G928"/>
      <c r="H928"/>
      <c r="I928"/>
      <c r="J928"/>
    </row>
    <row r="929" spans="1:10" x14ac:dyDescent="0.25">
      <c r="A929"/>
      <c r="B929"/>
      <c r="C929"/>
      <c r="D929"/>
      <c r="E929"/>
      <c r="F929"/>
      <c r="G929"/>
      <c r="H929"/>
      <c r="I929"/>
      <c r="J929"/>
    </row>
    <row r="930" spans="1:10" x14ac:dyDescent="0.25">
      <c r="A930"/>
      <c r="B930"/>
      <c r="C930"/>
      <c r="D930"/>
      <c r="E930"/>
      <c r="F930"/>
      <c r="G930"/>
      <c r="H930"/>
      <c r="I930"/>
      <c r="J930"/>
    </row>
    <row r="931" spans="1:10" x14ac:dyDescent="0.25">
      <c r="A931"/>
      <c r="B931"/>
      <c r="C931"/>
      <c r="D931"/>
      <c r="E931"/>
      <c r="F931"/>
      <c r="G931"/>
      <c r="H931"/>
      <c r="I931"/>
      <c r="J931"/>
    </row>
    <row r="932" spans="1:10" x14ac:dyDescent="0.25">
      <c r="A932"/>
      <c r="B932"/>
      <c r="C932"/>
      <c r="D932"/>
      <c r="E932"/>
      <c r="F932"/>
      <c r="G932"/>
      <c r="H932"/>
      <c r="I932"/>
      <c r="J932"/>
    </row>
    <row r="933" spans="1:10" x14ac:dyDescent="0.25">
      <c r="A933"/>
      <c r="B933"/>
      <c r="C933"/>
      <c r="D933"/>
      <c r="E933"/>
      <c r="F933"/>
      <c r="G933"/>
      <c r="H933"/>
      <c r="I933"/>
      <c r="J933"/>
    </row>
    <row r="934" spans="1:10" x14ac:dyDescent="0.25">
      <c r="A934"/>
      <c r="B934"/>
      <c r="C934"/>
      <c r="D934"/>
      <c r="E934"/>
      <c r="F934"/>
      <c r="G934"/>
      <c r="H934"/>
      <c r="I934"/>
      <c r="J934"/>
    </row>
    <row r="935" spans="1:10" x14ac:dyDescent="0.25">
      <c r="A935"/>
      <c r="B935"/>
      <c r="C935"/>
      <c r="D935"/>
      <c r="E935"/>
      <c r="F935"/>
      <c r="G935"/>
      <c r="H935"/>
      <c r="I935"/>
      <c r="J935"/>
    </row>
    <row r="936" spans="1:10" x14ac:dyDescent="0.25">
      <c r="A936"/>
      <c r="B936"/>
      <c r="C936"/>
      <c r="D936"/>
      <c r="E936"/>
      <c r="F936"/>
      <c r="G936"/>
      <c r="H936"/>
      <c r="I936"/>
      <c r="J936"/>
    </row>
    <row r="937" spans="1:10" x14ac:dyDescent="0.25">
      <c r="A937"/>
      <c r="B937"/>
      <c r="C937"/>
      <c r="D937"/>
      <c r="E937"/>
      <c r="F937"/>
      <c r="G937"/>
      <c r="H937"/>
      <c r="I937"/>
      <c r="J937"/>
    </row>
    <row r="938" spans="1:10" x14ac:dyDescent="0.25">
      <c r="A938"/>
      <c r="B938"/>
      <c r="C938"/>
      <c r="D938"/>
      <c r="E938"/>
      <c r="F938"/>
      <c r="G938"/>
      <c r="H938"/>
      <c r="I938"/>
      <c r="J938"/>
    </row>
    <row r="939" spans="1:10" x14ac:dyDescent="0.25">
      <c r="A939"/>
      <c r="B939"/>
      <c r="C939"/>
      <c r="D939"/>
      <c r="E939"/>
      <c r="F939"/>
      <c r="G939"/>
      <c r="H939"/>
      <c r="I939"/>
      <c r="J939"/>
    </row>
    <row r="940" spans="1:10" x14ac:dyDescent="0.25">
      <c r="A940"/>
      <c r="B940"/>
      <c r="C940"/>
      <c r="D940"/>
      <c r="E940"/>
      <c r="F940"/>
      <c r="G940"/>
      <c r="H940"/>
      <c r="I940"/>
      <c r="J940"/>
    </row>
    <row r="941" spans="1:10" x14ac:dyDescent="0.25">
      <c r="A941"/>
      <c r="B941"/>
      <c r="C941"/>
      <c r="D941"/>
      <c r="E941"/>
      <c r="F941"/>
      <c r="G941"/>
      <c r="H941"/>
      <c r="I941"/>
      <c r="J941"/>
    </row>
    <row r="942" spans="1:10" x14ac:dyDescent="0.25">
      <c r="A942"/>
      <c r="B942"/>
      <c r="C942"/>
      <c r="D942"/>
      <c r="E942"/>
      <c r="F942"/>
      <c r="G942"/>
      <c r="H942"/>
      <c r="I942"/>
      <c r="J942"/>
    </row>
    <row r="943" spans="1:10" x14ac:dyDescent="0.25">
      <c r="A943"/>
      <c r="B943"/>
      <c r="C943"/>
      <c r="D943"/>
      <c r="E943"/>
      <c r="F943"/>
      <c r="G943"/>
      <c r="H943"/>
      <c r="I943"/>
      <c r="J943"/>
    </row>
    <row r="944" spans="1:10" x14ac:dyDescent="0.25">
      <c r="A944"/>
      <c r="B944"/>
      <c r="C944"/>
      <c r="D944"/>
      <c r="E944"/>
      <c r="F944"/>
      <c r="G944"/>
      <c r="H944"/>
      <c r="I944"/>
      <c r="J944"/>
    </row>
    <row r="945" spans="1:10" x14ac:dyDescent="0.25">
      <c r="A945"/>
      <c r="B945"/>
      <c r="C945"/>
      <c r="D945"/>
      <c r="E945"/>
      <c r="F945"/>
      <c r="G945"/>
      <c r="H945"/>
      <c r="I945"/>
      <c r="J945"/>
    </row>
    <row r="946" spans="1:10" x14ac:dyDescent="0.25">
      <c r="A946"/>
      <c r="B946"/>
      <c r="C946"/>
      <c r="D946"/>
      <c r="E946"/>
      <c r="F946"/>
      <c r="G946"/>
      <c r="H946"/>
      <c r="I946"/>
      <c r="J946"/>
    </row>
    <row r="947" spans="1:10" x14ac:dyDescent="0.25">
      <c r="A947"/>
      <c r="B947"/>
      <c r="C947"/>
      <c r="D947"/>
      <c r="E947"/>
      <c r="F947"/>
      <c r="G947"/>
      <c r="H947"/>
      <c r="I947"/>
      <c r="J947"/>
    </row>
    <row r="948" spans="1:10" x14ac:dyDescent="0.25">
      <c r="A948"/>
      <c r="B948"/>
      <c r="C948"/>
      <c r="D948"/>
      <c r="E948"/>
      <c r="F948"/>
      <c r="G948"/>
      <c r="H948"/>
      <c r="I948"/>
      <c r="J948"/>
    </row>
    <row r="949" spans="1:10" x14ac:dyDescent="0.25">
      <c r="A949"/>
      <c r="B949"/>
      <c r="C949"/>
      <c r="D949"/>
      <c r="E949"/>
      <c r="F949"/>
      <c r="G949"/>
      <c r="H949"/>
      <c r="I949"/>
      <c r="J949"/>
    </row>
    <row r="950" spans="1:10" x14ac:dyDescent="0.25">
      <c r="A950"/>
      <c r="B950"/>
      <c r="C950"/>
      <c r="D950"/>
      <c r="E950"/>
      <c r="F950"/>
      <c r="G950"/>
      <c r="H950"/>
      <c r="I950"/>
      <c r="J950"/>
    </row>
    <row r="951" spans="1:10" x14ac:dyDescent="0.25">
      <c r="A951"/>
      <c r="B951"/>
      <c r="C951"/>
      <c r="D951"/>
      <c r="E951"/>
      <c r="F951"/>
      <c r="G951"/>
      <c r="H951"/>
      <c r="I951"/>
      <c r="J951"/>
    </row>
    <row r="952" spans="1:10" x14ac:dyDescent="0.25">
      <c r="A952"/>
      <c r="B952"/>
      <c r="C952"/>
      <c r="D952"/>
      <c r="E952"/>
      <c r="F952"/>
      <c r="G952"/>
      <c r="H952"/>
      <c r="I952"/>
      <c r="J952"/>
    </row>
    <row r="953" spans="1:10" x14ac:dyDescent="0.25">
      <c r="A953"/>
      <c r="B953"/>
      <c r="C953"/>
      <c r="D953"/>
      <c r="E953"/>
      <c r="F953"/>
      <c r="G953"/>
      <c r="H953"/>
      <c r="I953"/>
      <c r="J953"/>
    </row>
    <row r="954" spans="1:10" x14ac:dyDescent="0.25">
      <c r="A954"/>
      <c r="B954"/>
      <c r="C954"/>
      <c r="D954"/>
      <c r="E954"/>
      <c r="F954"/>
      <c r="G954"/>
      <c r="H954"/>
      <c r="I954"/>
      <c r="J954"/>
    </row>
    <row r="955" spans="1:10" x14ac:dyDescent="0.25">
      <c r="A955"/>
      <c r="B955"/>
      <c r="C955"/>
      <c r="D955"/>
      <c r="E955"/>
      <c r="F955"/>
      <c r="G955"/>
      <c r="H955"/>
      <c r="I955"/>
      <c r="J955"/>
    </row>
    <row r="956" spans="1:10" x14ac:dyDescent="0.25">
      <c r="A956"/>
      <c r="B956"/>
      <c r="C956"/>
      <c r="D956"/>
      <c r="E956"/>
      <c r="F956"/>
      <c r="G956"/>
      <c r="H956"/>
      <c r="I956"/>
      <c r="J956"/>
    </row>
    <row r="957" spans="1:10" x14ac:dyDescent="0.25">
      <c r="A957"/>
      <c r="B957"/>
      <c r="C957"/>
      <c r="D957"/>
      <c r="E957"/>
      <c r="F957"/>
      <c r="G957"/>
      <c r="H957"/>
      <c r="I957"/>
      <c r="J957"/>
    </row>
    <row r="958" spans="1:10" x14ac:dyDescent="0.25">
      <c r="A958"/>
      <c r="B958"/>
      <c r="C958"/>
      <c r="D958"/>
      <c r="E958"/>
      <c r="F958"/>
      <c r="G958"/>
      <c r="H958"/>
      <c r="I958"/>
      <c r="J958"/>
    </row>
    <row r="959" spans="1:10" x14ac:dyDescent="0.25">
      <c r="A959"/>
      <c r="B959"/>
      <c r="C959"/>
      <c r="D959"/>
      <c r="E959"/>
      <c r="F959"/>
      <c r="G959"/>
      <c r="H959"/>
      <c r="I959"/>
      <c r="J959"/>
    </row>
    <row r="960" spans="1:10" x14ac:dyDescent="0.25">
      <c r="A960"/>
      <c r="B960"/>
      <c r="C960"/>
      <c r="D960"/>
      <c r="E960"/>
      <c r="F960"/>
      <c r="G960"/>
      <c r="H960"/>
      <c r="I960"/>
      <c r="J960"/>
    </row>
    <row r="961" spans="1:10" x14ac:dyDescent="0.25">
      <c r="A961"/>
      <c r="B961"/>
      <c r="C961"/>
      <c r="D961"/>
      <c r="E961"/>
      <c r="F961"/>
      <c r="G961"/>
      <c r="H961"/>
      <c r="I961"/>
      <c r="J961"/>
    </row>
    <row r="962" spans="1:10" x14ac:dyDescent="0.25">
      <c r="A962"/>
      <c r="B962"/>
      <c r="C962"/>
      <c r="D962"/>
      <c r="E962"/>
      <c r="F962"/>
      <c r="G962"/>
      <c r="H962"/>
      <c r="I962"/>
      <c r="J962"/>
    </row>
    <row r="963" spans="1:10" x14ac:dyDescent="0.25">
      <c r="A963"/>
      <c r="B963"/>
      <c r="C963"/>
      <c r="D963"/>
      <c r="E963"/>
      <c r="F963"/>
      <c r="G963"/>
      <c r="H963"/>
      <c r="I963"/>
      <c r="J963"/>
    </row>
    <row r="964" spans="1:10" x14ac:dyDescent="0.25">
      <c r="A964"/>
      <c r="B964"/>
      <c r="C964"/>
      <c r="D964"/>
      <c r="E964"/>
      <c r="F964"/>
      <c r="G964"/>
      <c r="H964"/>
      <c r="I964"/>
      <c r="J964"/>
    </row>
    <row r="965" spans="1:10" x14ac:dyDescent="0.25">
      <c r="A965"/>
      <c r="B965"/>
      <c r="C965"/>
      <c r="D965"/>
      <c r="E965"/>
      <c r="F965"/>
      <c r="G965"/>
      <c r="H965"/>
      <c r="I965"/>
      <c r="J965"/>
    </row>
    <row r="966" spans="1:10" x14ac:dyDescent="0.25">
      <c r="A966"/>
      <c r="B966"/>
      <c r="C966"/>
      <c r="D966"/>
      <c r="E966"/>
      <c r="F966"/>
      <c r="G966"/>
      <c r="H966"/>
      <c r="I966"/>
      <c r="J966"/>
    </row>
    <row r="967" spans="1:10" x14ac:dyDescent="0.25">
      <c r="A967"/>
      <c r="B967"/>
      <c r="C967"/>
      <c r="D967"/>
      <c r="E967"/>
      <c r="F967"/>
      <c r="G967"/>
      <c r="H967"/>
      <c r="I967"/>
      <c r="J967"/>
    </row>
    <row r="968" spans="1:10" x14ac:dyDescent="0.25">
      <c r="A968"/>
      <c r="B968"/>
      <c r="C968"/>
      <c r="D968"/>
      <c r="E968"/>
      <c r="F968"/>
      <c r="G968"/>
      <c r="H968"/>
      <c r="I968"/>
      <c r="J968"/>
    </row>
    <row r="969" spans="1:10" x14ac:dyDescent="0.25">
      <c r="A969"/>
      <c r="B969"/>
      <c r="C969"/>
      <c r="D969"/>
      <c r="E969"/>
      <c r="F969"/>
      <c r="G969"/>
      <c r="H969"/>
      <c r="I969"/>
      <c r="J969"/>
    </row>
    <row r="970" spans="1:10" x14ac:dyDescent="0.25">
      <c r="A970"/>
      <c r="B970"/>
      <c r="C970"/>
      <c r="D970"/>
      <c r="E970"/>
      <c r="F970"/>
      <c r="G970"/>
      <c r="H970"/>
      <c r="I970"/>
      <c r="J970"/>
    </row>
    <row r="971" spans="1:10" x14ac:dyDescent="0.25">
      <c r="A971"/>
      <c r="B971"/>
      <c r="C971"/>
      <c r="D971"/>
      <c r="E971"/>
      <c r="F971"/>
      <c r="G971"/>
      <c r="H971"/>
      <c r="I971"/>
      <c r="J971"/>
    </row>
    <row r="972" spans="1:10" x14ac:dyDescent="0.25">
      <c r="A972"/>
      <c r="B972"/>
      <c r="C972"/>
      <c r="D972"/>
      <c r="E972"/>
      <c r="F972"/>
      <c r="G972"/>
      <c r="H972"/>
      <c r="I972"/>
      <c r="J972"/>
    </row>
    <row r="973" spans="1:10" x14ac:dyDescent="0.25">
      <c r="A973"/>
      <c r="B973"/>
      <c r="C973"/>
      <c r="D973"/>
      <c r="E973"/>
      <c r="F973"/>
      <c r="G973"/>
      <c r="H973"/>
      <c r="I973"/>
      <c r="J973"/>
    </row>
    <row r="974" spans="1:10" x14ac:dyDescent="0.25">
      <c r="A974"/>
      <c r="B974"/>
      <c r="C974"/>
      <c r="D974"/>
      <c r="E974"/>
      <c r="F974"/>
      <c r="G974"/>
      <c r="H974"/>
      <c r="I974"/>
      <c r="J974"/>
    </row>
    <row r="975" spans="1:10" x14ac:dyDescent="0.25">
      <c r="A975"/>
      <c r="B975"/>
      <c r="C975"/>
      <c r="D975"/>
      <c r="E975"/>
      <c r="F975"/>
      <c r="G975"/>
      <c r="H975"/>
      <c r="I975"/>
      <c r="J975"/>
    </row>
    <row r="976" spans="1:10" x14ac:dyDescent="0.25">
      <c r="A976"/>
      <c r="B976"/>
      <c r="C976"/>
      <c r="D976"/>
      <c r="E976"/>
      <c r="F976"/>
      <c r="G976"/>
      <c r="H976"/>
      <c r="I976"/>
      <c r="J976"/>
    </row>
    <row r="977" spans="1:10" x14ac:dyDescent="0.25">
      <c r="A977"/>
      <c r="B977"/>
      <c r="C977"/>
      <c r="D977"/>
      <c r="E977"/>
      <c r="F977"/>
      <c r="G977"/>
      <c r="H977"/>
      <c r="I977"/>
      <c r="J977"/>
    </row>
    <row r="978" spans="1:10" x14ac:dyDescent="0.25">
      <c r="A978"/>
      <c r="B978"/>
      <c r="C978"/>
      <c r="D978"/>
      <c r="E978"/>
      <c r="F978"/>
      <c r="G978"/>
      <c r="H978"/>
      <c r="I978"/>
      <c r="J978"/>
    </row>
    <row r="979" spans="1:10" x14ac:dyDescent="0.25">
      <c r="A979"/>
      <c r="B979"/>
      <c r="C979"/>
      <c r="D979"/>
      <c r="E979"/>
      <c r="F979"/>
      <c r="G979"/>
      <c r="H979"/>
      <c r="I979"/>
      <c r="J979"/>
    </row>
    <row r="980" spans="1:10" x14ac:dyDescent="0.25">
      <c r="A980"/>
      <c r="B980"/>
      <c r="C980"/>
      <c r="D980"/>
      <c r="E980"/>
      <c r="F980"/>
      <c r="G980"/>
      <c r="H980"/>
      <c r="I980"/>
      <c r="J980"/>
    </row>
    <row r="981" spans="1:10" x14ac:dyDescent="0.25">
      <c r="A981"/>
      <c r="B981"/>
      <c r="C981"/>
      <c r="D981"/>
      <c r="E981"/>
      <c r="F981"/>
      <c r="G981"/>
      <c r="H981"/>
      <c r="I981"/>
      <c r="J981"/>
    </row>
    <row r="982" spans="1:10" x14ac:dyDescent="0.25">
      <c r="A982"/>
      <c r="B982"/>
      <c r="C982"/>
      <c r="D982"/>
      <c r="E982"/>
      <c r="F982"/>
      <c r="G982"/>
      <c r="H982"/>
      <c r="I982"/>
      <c r="J982"/>
    </row>
    <row r="983" spans="1:10" x14ac:dyDescent="0.25">
      <c r="A983"/>
      <c r="B983"/>
      <c r="C983"/>
      <c r="D983"/>
      <c r="E983"/>
      <c r="F983"/>
      <c r="G983"/>
      <c r="H983"/>
      <c r="I983"/>
      <c r="J983"/>
    </row>
    <row r="984" spans="1:10" x14ac:dyDescent="0.25">
      <c r="A984"/>
      <c r="B984"/>
      <c r="C984"/>
      <c r="D984"/>
      <c r="E984"/>
      <c r="F984"/>
      <c r="G984"/>
      <c r="H984"/>
      <c r="I984"/>
      <c r="J984"/>
    </row>
    <row r="985" spans="1:10" x14ac:dyDescent="0.25">
      <c r="A985"/>
      <c r="B985"/>
      <c r="C985"/>
      <c r="D985"/>
      <c r="E985"/>
      <c r="F985"/>
      <c r="G985"/>
      <c r="H985"/>
      <c r="I985"/>
      <c r="J985"/>
    </row>
    <row r="986" spans="1:10" x14ac:dyDescent="0.25">
      <c r="A986"/>
      <c r="B986"/>
      <c r="C986"/>
      <c r="D986"/>
      <c r="E986"/>
      <c r="F986"/>
      <c r="G986"/>
      <c r="H986"/>
      <c r="I986"/>
      <c r="J986"/>
    </row>
    <row r="987" spans="1:10" x14ac:dyDescent="0.25">
      <c r="A987"/>
      <c r="B987"/>
      <c r="C987"/>
      <c r="D987"/>
      <c r="E987"/>
      <c r="F987"/>
      <c r="G987"/>
      <c r="H987"/>
      <c r="I987"/>
      <c r="J987"/>
    </row>
    <row r="988" spans="1:10" x14ac:dyDescent="0.25">
      <c r="A988"/>
      <c r="B988"/>
      <c r="C988"/>
      <c r="D988"/>
      <c r="E988"/>
      <c r="F988"/>
      <c r="G988"/>
      <c r="H988"/>
      <c r="I988"/>
      <c r="J988"/>
    </row>
    <row r="989" spans="1:10" x14ac:dyDescent="0.25">
      <c r="A989"/>
      <c r="B989"/>
      <c r="C989"/>
      <c r="D989"/>
      <c r="E989"/>
      <c r="F989"/>
      <c r="G989"/>
      <c r="H989"/>
      <c r="I989"/>
      <c r="J989"/>
    </row>
    <row r="990" spans="1:10" x14ac:dyDescent="0.25">
      <c r="A990"/>
      <c r="B990"/>
      <c r="C990"/>
      <c r="D990"/>
      <c r="E990"/>
      <c r="F990"/>
      <c r="G990"/>
      <c r="H990"/>
      <c r="I990"/>
      <c r="J990"/>
    </row>
    <row r="991" spans="1:10" x14ac:dyDescent="0.25">
      <c r="A991"/>
      <c r="B991"/>
      <c r="C991"/>
      <c r="D991"/>
      <c r="E991"/>
      <c r="F991"/>
      <c r="G991"/>
      <c r="H991"/>
      <c r="I991"/>
      <c r="J991"/>
    </row>
    <row r="992" spans="1:10" x14ac:dyDescent="0.25">
      <c r="A992"/>
      <c r="B992"/>
      <c r="C992"/>
      <c r="D992"/>
      <c r="E992"/>
      <c r="F992"/>
      <c r="G992"/>
      <c r="H992"/>
      <c r="I992"/>
      <c r="J992"/>
    </row>
    <row r="993" spans="1:10" x14ac:dyDescent="0.25">
      <c r="A993"/>
      <c r="B993"/>
      <c r="C993"/>
      <c r="D993"/>
      <c r="E993"/>
      <c r="F993"/>
      <c r="G993"/>
      <c r="H993"/>
      <c r="I993"/>
      <c r="J993"/>
    </row>
    <row r="994" spans="1:10" x14ac:dyDescent="0.25">
      <c r="A994"/>
      <c r="B994"/>
      <c r="C994"/>
      <c r="D994"/>
      <c r="E994"/>
      <c r="F994"/>
      <c r="G994"/>
      <c r="H994"/>
      <c r="I994"/>
      <c r="J994"/>
    </row>
    <row r="995" spans="1:10" x14ac:dyDescent="0.25">
      <c r="A995"/>
      <c r="B995"/>
      <c r="C995"/>
      <c r="D995"/>
      <c r="E995"/>
      <c r="F995"/>
      <c r="G995"/>
      <c r="H995"/>
      <c r="I995"/>
      <c r="J995"/>
    </row>
    <row r="996" spans="1:10" x14ac:dyDescent="0.25">
      <c r="A996"/>
      <c r="B996"/>
      <c r="C996"/>
      <c r="D996"/>
      <c r="E996"/>
      <c r="F996"/>
      <c r="G996"/>
      <c r="H996"/>
      <c r="I996"/>
      <c r="J996"/>
    </row>
    <row r="997" spans="1:10" x14ac:dyDescent="0.25">
      <c r="A997"/>
      <c r="B997"/>
      <c r="C997"/>
      <c r="D997"/>
      <c r="E997"/>
      <c r="F997"/>
      <c r="G997"/>
      <c r="H997"/>
      <c r="I997"/>
      <c r="J997"/>
    </row>
    <row r="998" spans="1:10" x14ac:dyDescent="0.25">
      <c r="A998"/>
      <c r="B998"/>
      <c r="C998"/>
      <c r="D998"/>
      <c r="E998"/>
      <c r="F998"/>
      <c r="G998"/>
      <c r="H998"/>
      <c r="I998"/>
      <c r="J998"/>
    </row>
    <row r="999" spans="1:10" x14ac:dyDescent="0.25">
      <c r="A999"/>
      <c r="B999"/>
      <c r="C999"/>
      <c r="D999"/>
      <c r="E999"/>
      <c r="F999"/>
      <c r="G999"/>
      <c r="H999"/>
      <c r="I999"/>
      <c r="J999"/>
    </row>
    <row r="1000" spans="1:10" x14ac:dyDescent="0.25">
      <c r="A1000"/>
      <c r="B1000"/>
      <c r="C1000"/>
      <c r="D1000"/>
      <c r="E1000"/>
      <c r="F1000"/>
      <c r="G1000"/>
      <c r="H1000"/>
      <c r="I1000"/>
      <c r="J1000"/>
    </row>
    <row r="1001" spans="1:10" x14ac:dyDescent="0.25">
      <c r="A1001"/>
      <c r="B1001"/>
      <c r="C1001"/>
      <c r="D1001"/>
      <c r="E1001"/>
      <c r="F1001"/>
      <c r="G1001"/>
      <c r="H1001"/>
      <c r="I1001"/>
      <c r="J1001"/>
    </row>
    <row r="1002" spans="1:10" x14ac:dyDescent="0.25">
      <c r="A1002"/>
      <c r="B1002"/>
      <c r="C1002"/>
      <c r="D1002"/>
      <c r="E1002"/>
      <c r="F1002"/>
      <c r="G1002"/>
      <c r="H1002"/>
      <c r="I1002"/>
      <c r="J1002"/>
    </row>
    <row r="1003" spans="1:10" x14ac:dyDescent="0.25">
      <c r="A1003"/>
      <c r="B1003"/>
      <c r="C1003"/>
      <c r="D1003"/>
      <c r="E1003"/>
      <c r="F1003"/>
      <c r="G1003"/>
      <c r="H1003"/>
      <c r="I1003"/>
      <c r="J1003"/>
    </row>
    <row r="1004" spans="1:10" x14ac:dyDescent="0.25">
      <c r="A1004"/>
      <c r="B1004"/>
      <c r="C1004"/>
      <c r="D1004"/>
      <c r="E1004"/>
      <c r="F1004"/>
      <c r="G1004"/>
      <c r="H1004"/>
      <c r="I1004"/>
      <c r="J1004"/>
    </row>
    <row r="1005" spans="1:10" x14ac:dyDescent="0.25">
      <c r="A1005"/>
      <c r="B1005"/>
      <c r="C1005"/>
      <c r="D1005"/>
      <c r="E1005"/>
      <c r="F1005"/>
      <c r="G1005"/>
      <c r="H1005"/>
      <c r="I1005"/>
      <c r="J1005"/>
    </row>
    <row r="1006" spans="1:10" x14ac:dyDescent="0.25">
      <c r="A1006"/>
      <c r="B1006"/>
      <c r="C1006"/>
      <c r="D1006"/>
      <c r="E1006"/>
      <c r="F1006"/>
      <c r="G1006"/>
      <c r="H1006"/>
      <c r="I1006"/>
      <c r="J1006"/>
    </row>
    <row r="1007" spans="1:10" x14ac:dyDescent="0.25">
      <c r="A1007"/>
      <c r="B1007"/>
      <c r="C1007"/>
      <c r="D1007"/>
      <c r="E1007"/>
      <c r="F1007"/>
      <c r="G1007"/>
      <c r="H1007"/>
      <c r="I1007"/>
      <c r="J1007"/>
    </row>
    <row r="1008" spans="1:10" x14ac:dyDescent="0.25">
      <c r="A1008"/>
      <c r="B1008"/>
      <c r="C1008"/>
      <c r="D1008"/>
      <c r="E1008"/>
      <c r="F1008"/>
      <c r="G1008"/>
      <c r="H1008"/>
      <c r="I1008"/>
      <c r="J1008"/>
    </row>
    <row r="1009" spans="1:10" x14ac:dyDescent="0.25">
      <c r="A1009"/>
      <c r="B1009"/>
      <c r="C1009"/>
      <c r="D1009"/>
      <c r="E1009"/>
      <c r="F1009"/>
      <c r="G1009"/>
      <c r="H1009"/>
      <c r="I1009"/>
      <c r="J1009"/>
    </row>
    <row r="1010" spans="1:10" x14ac:dyDescent="0.25">
      <c r="A1010"/>
      <c r="B1010"/>
      <c r="C1010"/>
      <c r="D1010"/>
      <c r="E1010"/>
      <c r="F1010"/>
      <c r="G1010"/>
      <c r="H1010"/>
      <c r="I1010"/>
      <c r="J1010"/>
    </row>
    <row r="1011" spans="1:10" x14ac:dyDescent="0.25">
      <c r="A1011"/>
      <c r="B1011"/>
      <c r="C1011"/>
      <c r="D1011"/>
      <c r="E1011"/>
      <c r="F1011"/>
      <c r="G1011"/>
      <c r="H1011"/>
      <c r="I1011"/>
      <c r="J1011"/>
    </row>
    <row r="1012" spans="1:10" x14ac:dyDescent="0.25">
      <c r="A1012"/>
      <c r="B1012"/>
      <c r="C1012"/>
      <c r="D1012"/>
      <c r="E1012"/>
      <c r="F1012"/>
      <c r="G1012"/>
      <c r="H1012"/>
      <c r="I1012"/>
      <c r="J1012"/>
    </row>
    <row r="1013" spans="1:10" x14ac:dyDescent="0.25">
      <c r="A1013"/>
      <c r="B1013"/>
      <c r="C1013"/>
      <c r="D1013"/>
      <c r="E1013"/>
      <c r="F1013"/>
      <c r="G1013"/>
      <c r="H1013"/>
      <c r="I1013"/>
      <c r="J1013"/>
    </row>
    <row r="1014" spans="1:10" x14ac:dyDescent="0.25">
      <c r="A1014"/>
      <c r="B1014"/>
      <c r="C1014"/>
      <c r="D1014"/>
      <c r="E1014"/>
      <c r="F1014"/>
      <c r="G1014"/>
      <c r="H1014"/>
      <c r="I1014"/>
      <c r="J1014"/>
    </row>
    <row r="1015" spans="1:10" x14ac:dyDescent="0.25">
      <c r="A1015"/>
      <c r="B1015"/>
      <c r="C1015"/>
      <c r="D1015"/>
      <c r="E1015"/>
      <c r="F1015"/>
      <c r="G1015"/>
      <c r="H1015"/>
      <c r="I1015"/>
      <c r="J1015"/>
    </row>
    <row r="1016" spans="1:10" x14ac:dyDescent="0.25">
      <c r="A1016"/>
      <c r="B1016"/>
      <c r="C1016"/>
      <c r="D1016"/>
      <c r="E1016"/>
      <c r="F1016"/>
      <c r="G1016"/>
      <c r="H1016"/>
      <c r="I1016"/>
      <c r="J1016"/>
    </row>
    <row r="1017" spans="1:10" x14ac:dyDescent="0.25">
      <c r="A1017"/>
      <c r="B1017"/>
      <c r="C1017"/>
      <c r="D1017"/>
      <c r="E1017"/>
      <c r="F1017"/>
      <c r="G1017"/>
      <c r="H1017"/>
      <c r="I1017"/>
      <c r="J1017"/>
    </row>
    <row r="1018" spans="1:10" x14ac:dyDescent="0.25">
      <c r="A1018"/>
      <c r="B1018"/>
      <c r="C1018"/>
      <c r="D1018"/>
      <c r="E1018"/>
      <c r="F1018"/>
      <c r="G1018"/>
      <c r="H1018"/>
      <c r="I1018"/>
      <c r="J1018"/>
    </row>
    <row r="1019" spans="1:10" x14ac:dyDescent="0.25">
      <c r="A1019"/>
      <c r="B1019"/>
      <c r="C1019"/>
      <c r="D1019"/>
      <c r="E1019"/>
      <c r="F1019"/>
      <c r="G1019"/>
      <c r="H1019"/>
      <c r="I1019"/>
      <c r="J1019"/>
    </row>
    <row r="1020" spans="1:10" x14ac:dyDescent="0.25">
      <c r="A1020"/>
      <c r="B1020"/>
      <c r="C1020"/>
      <c r="D1020"/>
      <c r="E1020"/>
      <c r="F1020"/>
      <c r="G1020"/>
      <c r="H1020"/>
      <c r="I1020"/>
      <c r="J1020"/>
    </row>
    <row r="1021" spans="1:10" x14ac:dyDescent="0.25">
      <c r="A1021"/>
      <c r="B1021"/>
      <c r="C1021"/>
      <c r="D1021"/>
      <c r="E1021"/>
      <c r="F1021"/>
      <c r="G1021"/>
      <c r="H1021"/>
      <c r="I1021"/>
      <c r="J1021"/>
    </row>
    <row r="1022" spans="1:10" x14ac:dyDescent="0.25">
      <c r="A1022"/>
      <c r="B1022"/>
      <c r="C1022"/>
      <c r="D1022"/>
      <c r="E1022"/>
      <c r="F1022"/>
      <c r="G1022"/>
      <c r="H1022"/>
      <c r="I1022"/>
      <c r="J1022"/>
    </row>
    <row r="1023" spans="1:10" x14ac:dyDescent="0.25">
      <c r="A1023"/>
      <c r="B1023"/>
      <c r="C1023"/>
      <c r="D1023"/>
      <c r="E1023"/>
      <c r="F1023"/>
      <c r="G1023"/>
      <c r="H1023"/>
      <c r="I1023"/>
      <c r="J1023"/>
    </row>
    <row r="1024" spans="1:10" x14ac:dyDescent="0.25">
      <c r="A1024"/>
      <c r="B1024"/>
      <c r="C1024"/>
      <c r="D1024"/>
      <c r="E1024"/>
      <c r="F1024"/>
      <c r="G1024"/>
      <c r="H1024"/>
      <c r="I1024"/>
      <c r="J1024"/>
    </row>
    <row r="1025" spans="1:10" x14ac:dyDescent="0.25">
      <c r="A1025"/>
      <c r="B1025"/>
      <c r="C1025"/>
      <c r="D1025"/>
      <c r="E1025"/>
      <c r="F1025"/>
      <c r="G1025"/>
      <c r="H1025"/>
      <c r="I1025"/>
      <c r="J1025"/>
    </row>
    <row r="1026" spans="1:10" x14ac:dyDescent="0.25">
      <c r="A1026"/>
      <c r="B1026"/>
      <c r="C1026"/>
      <c r="D1026"/>
      <c r="E1026"/>
      <c r="F1026"/>
      <c r="G1026"/>
      <c r="H1026"/>
      <c r="I1026"/>
      <c r="J1026"/>
    </row>
    <row r="1027" spans="1:10" x14ac:dyDescent="0.25">
      <c r="A1027"/>
      <c r="B1027"/>
      <c r="C1027"/>
      <c r="D1027"/>
      <c r="E1027"/>
      <c r="F1027"/>
      <c r="G1027"/>
      <c r="H1027"/>
      <c r="I1027"/>
      <c r="J1027"/>
    </row>
    <row r="1028" spans="1:10" x14ac:dyDescent="0.25">
      <c r="A1028"/>
      <c r="B1028"/>
      <c r="C1028"/>
      <c r="D1028"/>
      <c r="E1028"/>
      <c r="F1028"/>
      <c r="G1028"/>
      <c r="H1028"/>
      <c r="I1028"/>
      <c r="J1028"/>
    </row>
    <row r="1029" spans="1:10" x14ac:dyDescent="0.25">
      <c r="A1029"/>
      <c r="B1029"/>
      <c r="C1029"/>
      <c r="D1029"/>
      <c r="E1029"/>
      <c r="F1029"/>
      <c r="G1029"/>
      <c r="H1029"/>
      <c r="I1029"/>
      <c r="J1029"/>
    </row>
    <row r="1030" spans="1:10" x14ac:dyDescent="0.25">
      <c r="A1030"/>
      <c r="B1030"/>
      <c r="C1030"/>
      <c r="D1030"/>
      <c r="E1030"/>
      <c r="F1030"/>
      <c r="G1030"/>
      <c r="H1030"/>
      <c r="I1030"/>
      <c r="J1030"/>
    </row>
    <row r="1031" spans="1:10" x14ac:dyDescent="0.25">
      <c r="A1031"/>
      <c r="B1031"/>
      <c r="C1031"/>
      <c r="D1031"/>
      <c r="E1031"/>
      <c r="F1031"/>
      <c r="G1031"/>
      <c r="H1031"/>
      <c r="I1031"/>
      <c r="J1031"/>
    </row>
    <row r="1032" spans="1:10" x14ac:dyDescent="0.25">
      <c r="A1032"/>
      <c r="B1032"/>
      <c r="C1032"/>
      <c r="D1032"/>
      <c r="E1032"/>
      <c r="F1032"/>
      <c r="G1032"/>
      <c r="H1032"/>
      <c r="I1032"/>
      <c r="J1032"/>
    </row>
    <row r="1033" spans="1:10" x14ac:dyDescent="0.25">
      <c r="A1033"/>
      <c r="B1033"/>
      <c r="C1033"/>
      <c r="D1033"/>
      <c r="E1033"/>
      <c r="F1033"/>
      <c r="G1033"/>
      <c r="H1033"/>
      <c r="I1033"/>
      <c r="J1033"/>
    </row>
    <row r="1034" spans="1:10" x14ac:dyDescent="0.25">
      <c r="A1034"/>
      <c r="B1034"/>
      <c r="C1034"/>
      <c r="D1034"/>
      <c r="E1034"/>
      <c r="F1034"/>
      <c r="G1034"/>
      <c r="H1034"/>
      <c r="I1034"/>
      <c r="J1034"/>
    </row>
    <row r="1035" spans="1:10" x14ac:dyDescent="0.25">
      <c r="A1035"/>
      <c r="B1035"/>
      <c r="C1035"/>
      <c r="D1035"/>
      <c r="E1035"/>
      <c r="F1035"/>
      <c r="G1035"/>
      <c r="H1035"/>
      <c r="I1035"/>
      <c r="J1035"/>
    </row>
    <row r="1036" spans="1:10" x14ac:dyDescent="0.25">
      <c r="A1036"/>
      <c r="B1036"/>
      <c r="C1036"/>
      <c r="D1036"/>
      <c r="E1036"/>
      <c r="F1036"/>
      <c r="G1036"/>
      <c r="H1036"/>
      <c r="I1036"/>
      <c r="J1036"/>
    </row>
    <row r="1037" spans="1:10" x14ac:dyDescent="0.25">
      <c r="A1037"/>
      <c r="B1037"/>
      <c r="C1037"/>
      <c r="D1037"/>
      <c r="E1037"/>
      <c r="F1037"/>
      <c r="G1037"/>
      <c r="H1037"/>
      <c r="I1037"/>
      <c r="J1037"/>
    </row>
    <row r="1038" spans="1:10" x14ac:dyDescent="0.25">
      <c r="A1038"/>
      <c r="B1038"/>
      <c r="C1038"/>
      <c r="D1038"/>
      <c r="E1038"/>
      <c r="F1038"/>
      <c r="G1038"/>
      <c r="H1038"/>
      <c r="I1038"/>
      <c r="J1038"/>
    </row>
    <row r="1039" spans="1:10" x14ac:dyDescent="0.25">
      <c r="A1039"/>
      <c r="B1039"/>
      <c r="C1039"/>
      <c r="D1039"/>
      <c r="E1039"/>
      <c r="F1039"/>
      <c r="G1039"/>
      <c r="H1039"/>
      <c r="I1039"/>
      <c r="J1039"/>
    </row>
    <row r="1040" spans="1:10" x14ac:dyDescent="0.25">
      <c r="A1040"/>
      <c r="B1040"/>
      <c r="C1040"/>
      <c r="D1040"/>
      <c r="E1040"/>
      <c r="F1040"/>
      <c r="G1040"/>
      <c r="H1040"/>
      <c r="I1040"/>
      <c r="J1040"/>
    </row>
    <row r="1041" spans="1:10" x14ac:dyDescent="0.25">
      <c r="A1041"/>
      <c r="B1041"/>
      <c r="C1041"/>
      <c r="D1041"/>
      <c r="E1041"/>
      <c r="F1041"/>
      <c r="G1041"/>
      <c r="H1041"/>
      <c r="I1041"/>
      <c r="J1041"/>
    </row>
    <row r="1042" spans="1:10" x14ac:dyDescent="0.25">
      <c r="A1042"/>
      <c r="B1042"/>
      <c r="C1042"/>
      <c r="D1042"/>
      <c r="E1042"/>
      <c r="F1042"/>
      <c r="G1042"/>
      <c r="H1042"/>
      <c r="I1042"/>
      <c r="J1042"/>
    </row>
    <row r="1043" spans="1:10" x14ac:dyDescent="0.25">
      <c r="A1043"/>
      <c r="B1043"/>
      <c r="C1043"/>
      <c r="D1043"/>
      <c r="E1043"/>
      <c r="F1043"/>
      <c r="G1043"/>
      <c r="H1043"/>
      <c r="I1043"/>
      <c r="J1043"/>
    </row>
    <row r="1044" spans="1:10" x14ac:dyDescent="0.25">
      <c r="A1044"/>
      <c r="B1044"/>
      <c r="C1044"/>
      <c r="D1044"/>
      <c r="E1044"/>
      <c r="F1044"/>
      <c r="G1044"/>
      <c r="H1044"/>
      <c r="I1044"/>
      <c r="J1044"/>
    </row>
    <row r="1045" spans="1:10" x14ac:dyDescent="0.25">
      <c r="A1045"/>
      <c r="B1045"/>
      <c r="C1045"/>
      <c r="D1045"/>
      <c r="E1045"/>
      <c r="F1045"/>
      <c r="G1045"/>
      <c r="H1045"/>
      <c r="I1045"/>
      <c r="J1045"/>
    </row>
    <row r="1046" spans="1:10" x14ac:dyDescent="0.25">
      <c r="A1046"/>
      <c r="B1046"/>
      <c r="C1046"/>
      <c r="D1046"/>
      <c r="E1046"/>
      <c r="F1046"/>
      <c r="G1046"/>
      <c r="H1046"/>
      <c r="I1046"/>
      <c r="J1046"/>
    </row>
    <row r="1047" spans="1:10" x14ac:dyDescent="0.25">
      <c r="A1047"/>
      <c r="B1047"/>
      <c r="C1047"/>
      <c r="D1047"/>
      <c r="E1047"/>
      <c r="F1047"/>
      <c r="G1047"/>
      <c r="H1047"/>
      <c r="I1047"/>
      <c r="J1047"/>
    </row>
    <row r="1048" spans="1:10" x14ac:dyDescent="0.25">
      <c r="A1048"/>
      <c r="B1048"/>
      <c r="C1048"/>
      <c r="D1048"/>
      <c r="E1048"/>
      <c r="F1048"/>
      <c r="G1048"/>
      <c r="H1048"/>
      <c r="I1048"/>
      <c r="J1048"/>
    </row>
    <row r="1049" spans="1:10" x14ac:dyDescent="0.25">
      <c r="A1049"/>
      <c r="B1049"/>
      <c r="C1049"/>
      <c r="D1049"/>
      <c r="E1049"/>
      <c r="F1049"/>
      <c r="G1049"/>
      <c r="H1049"/>
      <c r="I1049"/>
      <c r="J1049"/>
    </row>
    <row r="1050" spans="1:10" x14ac:dyDescent="0.25">
      <c r="A1050"/>
      <c r="B1050"/>
      <c r="C1050"/>
      <c r="D1050"/>
      <c r="E1050"/>
      <c r="F1050"/>
      <c r="G1050"/>
      <c r="H1050"/>
      <c r="I1050"/>
      <c r="J1050"/>
    </row>
    <row r="1051" spans="1:10" x14ac:dyDescent="0.25">
      <c r="A1051"/>
      <c r="B1051"/>
      <c r="C1051"/>
      <c r="D1051"/>
      <c r="E1051"/>
      <c r="F1051"/>
      <c r="G1051"/>
      <c r="H1051"/>
      <c r="I1051"/>
      <c r="J1051"/>
    </row>
    <row r="1052" spans="1:10" x14ac:dyDescent="0.25">
      <c r="A1052"/>
      <c r="B1052"/>
      <c r="C1052"/>
      <c r="D1052"/>
      <c r="E1052"/>
      <c r="F1052"/>
      <c r="G1052"/>
      <c r="H1052"/>
      <c r="I1052"/>
      <c r="J1052"/>
    </row>
    <row r="1053" spans="1:10" x14ac:dyDescent="0.25">
      <c r="A1053"/>
      <c r="B1053"/>
      <c r="C1053"/>
      <c r="D1053"/>
      <c r="E1053"/>
      <c r="F1053"/>
      <c r="G1053"/>
      <c r="H1053"/>
      <c r="I1053"/>
      <c r="J1053"/>
    </row>
    <row r="1054" spans="1:10" x14ac:dyDescent="0.25">
      <c r="A1054"/>
      <c r="B1054"/>
      <c r="C1054"/>
      <c r="D1054"/>
      <c r="E1054"/>
      <c r="F1054"/>
      <c r="G1054"/>
      <c r="H1054"/>
      <c r="I1054"/>
      <c r="J1054"/>
    </row>
    <row r="1055" spans="1:10" x14ac:dyDescent="0.25">
      <c r="A1055"/>
      <c r="B1055"/>
      <c r="C1055"/>
      <c r="D1055"/>
      <c r="E1055"/>
      <c r="F1055"/>
      <c r="G1055"/>
      <c r="H1055"/>
      <c r="I1055"/>
      <c r="J1055"/>
    </row>
    <row r="1056" spans="1:10" x14ac:dyDescent="0.25">
      <c r="A1056"/>
      <c r="B1056"/>
      <c r="C1056"/>
      <c r="D1056"/>
      <c r="E1056"/>
      <c r="F1056"/>
      <c r="G1056"/>
      <c r="H1056"/>
      <c r="I1056"/>
      <c r="J1056"/>
    </row>
    <row r="1057" spans="1:10" x14ac:dyDescent="0.25">
      <c r="A1057"/>
      <c r="B1057"/>
      <c r="C1057"/>
      <c r="D1057"/>
      <c r="E1057"/>
      <c r="F1057"/>
      <c r="G1057"/>
      <c r="H1057"/>
      <c r="I1057"/>
      <c r="J1057"/>
    </row>
    <row r="1058" spans="1:10" x14ac:dyDescent="0.25">
      <c r="A1058"/>
      <c r="B1058"/>
      <c r="C1058"/>
      <c r="D1058"/>
      <c r="E1058"/>
      <c r="F1058"/>
      <c r="G1058"/>
      <c r="H1058"/>
      <c r="I1058"/>
      <c r="J1058"/>
    </row>
    <row r="1059" spans="1:10" x14ac:dyDescent="0.25">
      <c r="A1059"/>
      <c r="B1059"/>
      <c r="C1059"/>
      <c r="D1059"/>
      <c r="E1059"/>
      <c r="F1059"/>
      <c r="G1059"/>
      <c r="H1059"/>
      <c r="I1059"/>
      <c r="J1059"/>
    </row>
    <row r="1060" spans="1:10" x14ac:dyDescent="0.25">
      <c r="A1060"/>
      <c r="B1060"/>
      <c r="C1060"/>
      <c r="D1060"/>
      <c r="E1060"/>
      <c r="F1060"/>
      <c r="G1060"/>
      <c r="H1060"/>
      <c r="I1060"/>
      <c r="J1060"/>
    </row>
    <row r="1061" spans="1:10" x14ac:dyDescent="0.25">
      <c r="A1061"/>
      <c r="B1061"/>
      <c r="C1061"/>
      <c r="D1061"/>
      <c r="E1061"/>
      <c r="F1061"/>
      <c r="G1061"/>
      <c r="H1061"/>
      <c r="I1061"/>
      <c r="J1061"/>
    </row>
    <row r="1062" spans="1:10" x14ac:dyDescent="0.25">
      <c r="A1062"/>
      <c r="B1062"/>
      <c r="C1062"/>
      <c r="D1062"/>
      <c r="E1062"/>
      <c r="F1062"/>
      <c r="G1062"/>
      <c r="H1062"/>
      <c r="I1062"/>
      <c r="J1062"/>
    </row>
    <row r="1063" spans="1:10" x14ac:dyDescent="0.25">
      <c r="A1063"/>
      <c r="B1063"/>
      <c r="C1063"/>
      <c r="D1063"/>
      <c r="E1063"/>
      <c r="F1063"/>
      <c r="G1063"/>
      <c r="H1063"/>
      <c r="I1063"/>
      <c r="J1063"/>
    </row>
    <row r="1064" spans="1:10" x14ac:dyDescent="0.25">
      <c r="A1064"/>
      <c r="B1064"/>
      <c r="C1064"/>
      <c r="D1064"/>
      <c r="E1064"/>
      <c r="F1064"/>
      <c r="G1064"/>
      <c r="H1064"/>
      <c r="I1064"/>
      <c r="J1064"/>
    </row>
    <row r="1065" spans="1:10" x14ac:dyDescent="0.25">
      <c r="A1065"/>
      <c r="B1065"/>
      <c r="C1065"/>
      <c r="D1065"/>
      <c r="E1065"/>
      <c r="F1065"/>
      <c r="G1065"/>
      <c r="H1065"/>
      <c r="I1065"/>
      <c r="J1065"/>
    </row>
    <row r="1066" spans="1:10" x14ac:dyDescent="0.25">
      <c r="A1066"/>
      <c r="B1066"/>
      <c r="C1066"/>
      <c r="D1066"/>
      <c r="E1066"/>
      <c r="F1066"/>
      <c r="G1066"/>
      <c r="H1066"/>
      <c r="I1066"/>
      <c r="J1066"/>
    </row>
    <row r="1067" spans="1:10" x14ac:dyDescent="0.25">
      <c r="A1067"/>
      <c r="B1067"/>
      <c r="C1067"/>
      <c r="D1067"/>
      <c r="E1067"/>
      <c r="F1067"/>
      <c r="G1067"/>
      <c r="H1067"/>
      <c r="I1067"/>
      <c r="J1067"/>
    </row>
    <row r="1068" spans="1:10" x14ac:dyDescent="0.25">
      <c r="A1068"/>
      <c r="B1068"/>
      <c r="C1068"/>
      <c r="D1068"/>
      <c r="E1068"/>
      <c r="F1068"/>
      <c r="G1068"/>
      <c r="H1068"/>
      <c r="I1068"/>
      <c r="J1068"/>
    </row>
    <row r="1069" spans="1:10" x14ac:dyDescent="0.25">
      <c r="A1069"/>
      <c r="B1069"/>
      <c r="C1069"/>
      <c r="D1069"/>
      <c r="E1069"/>
      <c r="F1069"/>
      <c r="G1069"/>
      <c r="H1069"/>
      <c r="I1069"/>
      <c r="J1069"/>
    </row>
    <row r="1070" spans="1:10" x14ac:dyDescent="0.25">
      <c r="A1070"/>
      <c r="B1070"/>
      <c r="C1070"/>
      <c r="D1070"/>
      <c r="E1070"/>
      <c r="F1070"/>
      <c r="G1070"/>
      <c r="H1070"/>
      <c r="I1070"/>
      <c r="J1070"/>
    </row>
    <row r="1071" spans="1:10" x14ac:dyDescent="0.25">
      <c r="A1071"/>
      <c r="B1071"/>
      <c r="C1071"/>
      <c r="D1071"/>
      <c r="E1071"/>
      <c r="F1071"/>
      <c r="G1071"/>
      <c r="H1071"/>
      <c r="I1071"/>
      <c r="J1071"/>
    </row>
    <row r="1072" spans="1:10" x14ac:dyDescent="0.25">
      <c r="A1072"/>
      <c r="B1072"/>
      <c r="C1072"/>
      <c r="D1072"/>
      <c r="E1072"/>
      <c r="F1072"/>
      <c r="G1072"/>
      <c r="H1072"/>
      <c r="I1072"/>
      <c r="J1072"/>
    </row>
    <row r="1073" spans="1:10" x14ac:dyDescent="0.25">
      <c r="A1073"/>
      <c r="B1073"/>
      <c r="C1073"/>
      <c r="D1073"/>
      <c r="E1073"/>
      <c r="F1073"/>
      <c r="G1073"/>
      <c r="H1073"/>
      <c r="I1073"/>
      <c r="J1073"/>
    </row>
    <row r="1074" spans="1:10" x14ac:dyDescent="0.25">
      <c r="A1074"/>
      <c r="B1074"/>
      <c r="C1074"/>
      <c r="D1074"/>
      <c r="E1074"/>
      <c r="F1074"/>
      <c r="G1074"/>
      <c r="H1074"/>
      <c r="I1074"/>
      <c r="J1074"/>
    </row>
    <row r="1075" spans="1:10" x14ac:dyDescent="0.25">
      <c r="A1075"/>
      <c r="B1075"/>
      <c r="C1075"/>
      <c r="D1075"/>
      <c r="E1075"/>
      <c r="F1075"/>
      <c r="G1075"/>
      <c r="H1075"/>
      <c r="I1075"/>
      <c r="J1075"/>
    </row>
    <row r="1076" spans="1:10" x14ac:dyDescent="0.25">
      <c r="A1076"/>
      <c r="B1076"/>
      <c r="C1076"/>
      <c r="D1076"/>
      <c r="E1076"/>
      <c r="F1076"/>
      <c r="G1076"/>
      <c r="H1076"/>
      <c r="I1076"/>
      <c r="J1076"/>
    </row>
    <row r="1077" spans="1:10" x14ac:dyDescent="0.25">
      <c r="A1077"/>
      <c r="B1077"/>
      <c r="C1077"/>
      <c r="D1077"/>
      <c r="E1077"/>
      <c r="F1077"/>
      <c r="G1077"/>
      <c r="H1077"/>
      <c r="I1077"/>
      <c r="J1077"/>
    </row>
    <row r="1078" spans="1:10" x14ac:dyDescent="0.25">
      <c r="A1078"/>
      <c r="B1078"/>
      <c r="C1078"/>
      <c r="D1078"/>
      <c r="E1078"/>
      <c r="F1078"/>
      <c r="G1078"/>
      <c r="H1078"/>
      <c r="I1078"/>
      <c r="J1078"/>
    </row>
    <row r="1079" spans="1:10" x14ac:dyDescent="0.25">
      <c r="A1079"/>
      <c r="B1079"/>
      <c r="C1079"/>
      <c r="D1079"/>
      <c r="E1079"/>
      <c r="F1079"/>
      <c r="G1079"/>
      <c r="H1079"/>
      <c r="I1079"/>
      <c r="J1079"/>
    </row>
    <row r="1080" spans="1:10" x14ac:dyDescent="0.25">
      <c r="A1080"/>
      <c r="B1080"/>
      <c r="C1080"/>
      <c r="D1080"/>
      <c r="E1080"/>
      <c r="F1080"/>
      <c r="G1080"/>
      <c r="H1080"/>
      <c r="I1080"/>
      <c r="J1080"/>
    </row>
    <row r="1081" spans="1:10" x14ac:dyDescent="0.25">
      <c r="A1081"/>
      <c r="B1081"/>
      <c r="C1081"/>
      <c r="D1081"/>
      <c r="E1081"/>
      <c r="F1081"/>
      <c r="G1081"/>
      <c r="H1081"/>
      <c r="I1081"/>
      <c r="J1081"/>
    </row>
    <row r="1082" spans="1:10" x14ac:dyDescent="0.25">
      <c r="A1082"/>
      <c r="B1082"/>
      <c r="C1082"/>
      <c r="D1082"/>
      <c r="E1082"/>
      <c r="F1082"/>
      <c r="G1082"/>
      <c r="H1082"/>
      <c r="I1082"/>
      <c r="J1082"/>
    </row>
    <row r="1083" spans="1:10" x14ac:dyDescent="0.25">
      <c r="A1083"/>
      <c r="B1083"/>
      <c r="C1083"/>
      <c r="D1083"/>
      <c r="E1083"/>
      <c r="F1083"/>
      <c r="G1083"/>
      <c r="H1083"/>
      <c r="I1083"/>
      <c r="J1083"/>
    </row>
    <row r="1084" spans="1:10" x14ac:dyDescent="0.25">
      <c r="A1084"/>
      <c r="B1084"/>
      <c r="C1084"/>
      <c r="D1084"/>
      <c r="E1084"/>
      <c r="F1084"/>
      <c r="G1084"/>
      <c r="H1084"/>
      <c r="I1084"/>
      <c r="J1084"/>
    </row>
    <row r="1085" spans="1:10" x14ac:dyDescent="0.25">
      <c r="A1085"/>
      <c r="B1085"/>
      <c r="C1085"/>
      <c r="D1085"/>
      <c r="E1085"/>
      <c r="F1085"/>
      <c r="G1085"/>
      <c r="H1085"/>
      <c r="I1085"/>
      <c r="J1085"/>
    </row>
    <row r="1086" spans="1:10" x14ac:dyDescent="0.25">
      <c r="A1086"/>
      <c r="B1086"/>
      <c r="C1086"/>
      <c r="D1086"/>
      <c r="E1086"/>
      <c r="F1086"/>
      <c r="G1086"/>
      <c r="H1086"/>
      <c r="I1086"/>
      <c r="J1086"/>
    </row>
    <row r="1087" spans="1:10" x14ac:dyDescent="0.25">
      <c r="A1087"/>
      <c r="B1087"/>
      <c r="C1087"/>
      <c r="D1087"/>
      <c r="E1087"/>
      <c r="F1087"/>
      <c r="G1087"/>
      <c r="H1087"/>
      <c r="I1087"/>
      <c r="J1087"/>
    </row>
    <row r="1088" spans="1:10" x14ac:dyDescent="0.25">
      <c r="A1088"/>
      <c r="B1088"/>
      <c r="C1088"/>
      <c r="D1088"/>
      <c r="E1088"/>
      <c r="F1088"/>
      <c r="G1088"/>
      <c r="H1088"/>
      <c r="I1088"/>
      <c r="J1088"/>
    </row>
    <row r="1089" spans="1:10" x14ac:dyDescent="0.25">
      <c r="A1089"/>
      <c r="B1089"/>
      <c r="C1089"/>
      <c r="D1089"/>
      <c r="E1089"/>
      <c r="F1089"/>
      <c r="G1089"/>
      <c r="H1089"/>
      <c r="I1089"/>
      <c r="J1089"/>
    </row>
    <row r="1090" spans="1:10" x14ac:dyDescent="0.25">
      <c r="A1090"/>
      <c r="B1090"/>
      <c r="C1090"/>
      <c r="D1090"/>
      <c r="E1090"/>
      <c r="F1090"/>
      <c r="G1090"/>
      <c r="H1090"/>
      <c r="I1090"/>
      <c r="J1090"/>
    </row>
    <row r="1091" spans="1:10" x14ac:dyDescent="0.25">
      <c r="A1091"/>
      <c r="B1091"/>
      <c r="C1091"/>
      <c r="D1091"/>
      <c r="E1091"/>
      <c r="F1091"/>
      <c r="G1091"/>
      <c r="H1091"/>
      <c r="I1091"/>
      <c r="J1091"/>
    </row>
    <row r="1092" spans="1:10" x14ac:dyDescent="0.25">
      <c r="A1092"/>
      <c r="B1092"/>
      <c r="C1092"/>
      <c r="D1092"/>
      <c r="E1092"/>
      <c r="F1092"/>
      <c r="G1092"/>
      <c r="H1092"/>
      <c r="I1092"/>
      <c r="J1092"/>
    </row>
    <row r="1093" spans="1:10" x14ac:dyDescent="0.25">
      <c r="A1093"/>
      <c r="B1093"/>
      <c r="C1093"/>
      <c r="D1093"/>
      <c r="E1093"/>
      <c r="F1093"/>
      <c r="G1093"/>
      <c r="H1093"/>
      <c r="I1093"/>
      <c r="J1093"/>
    </row>
    <row r="1094" spans="1:10" x14ac:dyDescent="0.25">
      <c r="A1094"/>
      <c r="B1094"/>
      <c r="C1094"/>
      <c r="D1094"/>
      <c r="E1094"/>
      <c r="F1094"/>
      <c r="G1094"/>
      <c r="H1094"/>
      <c r="I1094"/>
      <c r="J1094"/>
    </row>
    <row r="1095" spans="1:10" x14ac:dyDescent="0.25">
      <c r="A1095"/>
      <c r="B1095"/>
      <c r="C1095"/>
      <c r="D1095"/>
      <c r="E1095"/>
      <c r="F1095"/>
      <c r="G1095"/>
      <c r="H1095"/>
      <c r="I1095"/>
      <c r="J1095"/>
    </row>
    <row r="1096" spans="1:10" x14ac:dyDescent="0.25">
      <c r="A1096"/>
      <c r="B1096"/>
      <c r="C1096"/>
      <c r="D1096"/>
      <c r="E1096"/>
      <c r="F1096"/>
      <c r="G1096"/>
      <c r="H1096"/>
      <c r="I1096"/>
      <c r="J1096"/>
    </row>
    <row r="1097" spans="1:10" x14ac:dyDescent="0.25">
      <c r="A1097"/>
      <c r="B1097"/>
      <c r="C1097"/>
      <c r="D1097"/>
      <c r="E1097"/>
      <c r="F1097"/>
      <c r="G1097"/>
      <c r="H1097"/>
      <c r="I1097"/>
      <c r="J1097"/>
    </row>
    <row r="1098" spans="1:10" x14ac:dyDescent="0.25">
      <c r="A1098"/>
      <c r="B1098"/>
      <c r="C1098"/>
      <c r="D1098"/>
      <c r="E1098"/>
      <c r="F1098"/>
      <c r="G1098"/>
      <c r="H1098"/>
      <c r="I1098"/>
      <c r="J1098"/>
    </row>
    <row r="1099" spans="1:10" x14ac:dyDescent="0.25">
      <c r="A1099"/>
      <c r="B1099"/>
      <c r="C1099"/>
      <c r="D1099"/>
      <c r="E1099"/>
      <c r="F1099"/>
      <c r="G1099"/>
      <c r="H1099"/>
      <c r="I1099"/>
      <c r="J1099"/>
    </row>
    <row r="1100" spans="1:10" x14ac:dyDescent="0.25">
      <c r="A1100"/>
      <c r="B1100"/>
      <c r="C1100"/>
      <c r="D1100"/>
      <c r="E1100"/>
      <c r="F1100"/>
      <c r="G1100"/>
      <c r="H1100"/>
      <c r="I1100"/>
      <c r="J1100"/>
    </row>
    <row r="1101" spans="1:10" x14ac:dyDescent="0.25">
      <c r="A1101"/>
      <c r="B1101"/>
      <c r="C1101"/>
      <c r="D1101"/>
      <c r="E1101"/>
      <c r="F1101"/>
      <c r="G1101"/>
      <c r="H1101"/>
      <c r="I1101"/>
      <c r="J1101"/>
    </row>
    <row r="1102" spans="1:10" x14ac:dyDescent="0.25">
      <c r="A1102"/>
      <c r="B1102"/>
      <c r="C1102"/>
      <c r="D1102"/>
      <c r="E1102"/>
      <c r="F1102"/>
      <c r="G1102"/>
      <c r="H1102"/>
      <c r="I1102"/>
      <c r="J1102"/>
    </row>
    <row r="1103" spans="1:10" x14ac:dyDescent="0.25">
      <c r="A1103"/>
      <c r="B1103"/>
      <c r="C1103"/>
      <c r="D1103"/>
      <c r="E1103"/>
      <c r="F1103"/>
      <c r="G1103"/>
      <c r="H1103"/>
      <c r="I1103"/>
      <c r="J1103"/>
    </row>
    <row r="1104" spans="1:10" x14ac:dyDescent="0.25">
      <c r="A1104"/>
      <c r="B1104"/>
      <c r="C1104"/>
      <c r="D1104"/>
      <c r="E1104"/>
      <c r="F1104"/>
      <c r="G1104"/>
      <c r="H1104"/>
      <c r="I1104"/>
      <c r="J1104"/>
    </row>
    <row r="1105" spans="1:10" x14ac:dyDescent="0.25">
      <c r="A1105"/>
      <c r="B1105"/>
      <c r="C1105"/>
      <c r="D1105"/>
      <c r="E1105"/>
      <c r="F1105"/>
      <c r="G1105"/>
      <c r="H1105"/>
      <c r="I1105"/>
      <c r="J1105"/>
    </row>
    <row r="1106" spans="1:10" x14ac:dyDescent="0.25">
      <c r="A1106"/>
      <c r="B1106"/>
      <c r="C1106"/>
      <c r="D1106"/>
      <c r="E1106"/>
      <c r="F1106"/>
      <c r="G1106"/>
      <c r="H1106"/>
      <c r="I1106"/>
      <c r="J1106"/>
    </row>
    <row r="1107" spans="1:10" x14ac:dyDescent="0.25">
      <c r="A1107"/>
      <c r="B1107"/>
      <c r="C1107"/>
      <c r="D1107"/>
      <c r="E1107"/>
      <c r="F1107"/>
      <c r="G1107"/>
      <c r="H1107"/>
      <c r="I1107"/>
      <c r="J1107"/>
    </row>
    <row r="1108" spans="1:10" x14ac:dyDescent="0.25">
      <c r="A1108"/>
      <c r="B1108"/>
      <c r="C1108"/>
      <c r="D1108"/>
      <c r="E1108"/>
      <c r="F1108"/>
      <c r="G1108"/>
      <c r="H1108"/>
      <c r="I1108"/>
      <c r="J1108"/>
    </row>
    <row r="1109" spans="1:10" x14ac:dyDescent="0.25">
      <c r="A1109"/>
      <c r="B1109"/>
      <c r="C1109"/>
      <c r="D1109"/>
      <c r="E1109"/>
      <c r="F1109"/>
      <c r="G1109"/>
      <c r="H1109"/>
      <c r="I1109"/>
      <c r="J1109"/>
    </row>
    <row r="1110" spans="1:10" x14ac:dyDescent="0.25">
      <c r="A1110"/>
      <c r="B1110"/>
      <c r="C1110"/>
      <c r="D1110"/>
      <c r="E1110"/>
      <c r="F1110"/>
      <c r="G1110"/>
      <c r="H1110"/>
      <c r="I1110"/>
      <c r="J1110"/>
    </row>
    <row r="1111" spans="1:10" x14ac:dyDescent="0.25">
      <c r="A1111"/>
      <c r="B1111"/>
      <c r="C1111"/>
      <c r="D1111"/>
      <c r="E1111"/>
      <c r="F1111"/>
      <c r="G1111"/>
      <c r="H1111"/>
      <c r="I1111"/>
      <c r="J1111"/>
    </row>
    <row r="1112" spans="1:10" x14ac:dyDescent="0.25">
      <c r="A1112"/>
      <c r="B1112"/>
      <c r="C1112"/>
      <c r="D1112"/>
      <c r="E1112"/>
      <c r="F1112"/>
      <c r="G1112"/>
      <c r="H1112"/>
      <c r="I1112"/>
      <c r="J1112"/>
    </row>
    <row r="1113" spans="1:10" x14ac:dyDescent="0.25">
      <c r="A1113"/>
      <c r="B1113"/>
      <c r="C1113"/>
      <c r="D1113"/>
      <c r="E1113"/>
      <c r="F1113"/>
      <c r="G1113"/>
      <c r="H1113"/>
      <c r="I1113"/>
      <c r="J1113"/>
    </row>
    <row r="1114" spans="1:10" x14ac:dyDescent="0.25">
      <c r="A1114"/>
      <c r="B1114"/>
      <c r="C1114"/>
      <c r="D1114"/>
      <c r="E1114"/>
      <c r="F1114"/>
      <c r="G1114"/>
      <c r="H1114"/>
      <c r="I1114"/>
      <c r="J1114"/>
    </row>
    <row r="1115" spans="1:10" x14ac:dyDescent="0.25">
      <c r="A1115"/>
      <c r="B1115"/>
      <c r="C1115"/>
      <c r="D1115"/>
      <c r="E1115"/>
      <c r="F1115"/>
      <c r="G1115"/>
      <c r="H1115"/>
      <c r="I1115"/>
      <c r="J1115"/>
    </row>
    <row r="1116" spans="1:10" x14ac:dyDescent="0.25">
      <c r="A1116"/>
      <c r="B1116"/>
      <c r="C1116"/>
      <c r="D1116"/>
      <c r="E1116"/>
      <c r="F1116"/>
      <c r="G1116"/>
      <c r="H1116"/>
      <c r="I1116"/>
      <c r="J1116"/>
    </row>
    <row r="1117" spans="1:10" x14ac:dyDescent="0.25">
      <c r="A1117"/>
      <c r="B1117"/>
      <c r="C1117"/>
      <c r="D1117"/>
      <c r="E1117"/>
      <c r="F1117"/>
      <c r="G1117"/>
      <c r="H1117"/>
      <c r="I1117"/>
      <c r="J1117"/>
    </row>
    <row r="1118" spans="1:10" x14ac:dyDescent="0.25">
      <c r="A1118"/>
      <c r="B1118"/>
      <c r="C1118"/>
      <c r="D1118"/>
      <c r="E1118"/>
      <c r="F1118"/>
      <c r="G1118"/>
      <c r="H1118"/>
      <c r="I1118"/>
      <c r="J1118"/>
    </row>
    <row r="1119" spans="1:10" x14ac:dyDescent="0.25">
      <c r="A1119"/>
      <c r="B1119"/>
      <c r="C1119"/>
      <c r="D1119"/>
      <c r="E1119"/>
      <c r="F1119"/>
      <c r="G1119"/>
      <c r="H1119"/>
      <c r="I1119"/>
      <c r="J1119"/>
    </row>
    <row r="1120" spans="1:10" x14ac:dyDescent="0.25">
      <c r="A1120"/>
      <c r="B1120"/>
      <c r="C1120"/>
      <c r="D1120"/>
      <c r="E1120"/>
      <c r="F1120"/>
      <c r="G1120"/>
      <c r="H1120"/>
      <c r="I1120"/>
      <c r="J1120"/>
    </row>
    <row r="1121" spans="1:10" x14ac:dyDescent="0.25">
      <c r="A1121"/>
      <c r="B1121"/>
      <c r="C1121"/>
      <c r="D1121"/>
      <c r="E1121"/>
      <c r="F1121"/>
      <c r="G1121"/>
      <c r="H1121"/>
      <c r="I1121"/>
      <c r="J1121"/>
    </row>
    <row r="1122" spans="1:10" x14ac:dyDescent="0.25">
      <c r="A1122"/>
      <c r="B1122"/>
      <c r="C1122"/>
      <c r="D1122"/>
      <c r="E1122"/>
      <c r="F1122"/>
      <c r="G1122"/>
      <c r="H1122"/>
      <c r="I1122"/>
      <c r="J1122"/>
    </row>
    <row r="1123" spans="1:10" x14ac:dyDescent="0.25">
      <c r="A1123"/>
      <c r="B1123"/>
      <c r="C1123"/>
      <c r="D1123"/>
      <c r="E1123"/>
      <c r="F1123"/>
      <c r="G1123"/>
      <c r="H1123"/>
      <c r="I1123"/>
      <c r="J1123"/>
    </row>
    <row r="1124" spans="1:10" x14ac:dyDescent="0.25">
      <c r="A1124"/>
      <c r="B1124"/>
      <c r="C1124"/>
      <c r="D1124"/>
      <c r="E1124"/>
      <c r="F1124"/>
      <c r="G1124"/>
      <c r="H1124"/>
      <c r="I1124"/>
      <c r="J1124"/>
    </row>
    <row r="1125" spans="1:10" x14ac:dyDescent="0.25">
      <c r="A1125"/>
      <c r="B1125"/>
      <c r="C1125"/>
      <c r="D1125"/>
      <c r="E1125"/>
      <c r="F1125"/>
      <c r="G1125"/>
      <c r="H1125"/>
      <c r="I1125"/>
      <c r="J1125"/>
    </row>
    <row r="1126" spans="1:10" x14ac:dyDescent="0.25">
      <c r="A1126"/>
      <c r="B1126"/>
      <c r="C1126"/>
      <c r="D1126"/>
      <c r="E1126"/>
      <c r="F1126"/>
      <c r="G1126"/>
      <c r="H1126"/>
      <c r="I1126"/>
      <c r="J1126"/>
    </row>
    <row r="1127" spans="1:10" x14ac:dyDescent="0.25">
      <c r="A1127"/>
      <c r="B1127"/>
      <c r="C1127"/>
      <c r="D1127"/>
      <c r="E1127"/>
      <c r="F1127"/>
      <c r="G1127"/>
      <c r="H1127"/>
      <c r="I1127"/>
      <c r="J1127"/>
    </row>
    <row r="1128" spans="1:10" x14ac:dyDescent="0.25">
      <c r="A1128"/>
      <c r="B1128"/>
      <c r="C1128"/>
      <c r="D1128"/>
      <c r="E1128"/>
      <c r="F1128"/>
      <c r="G1128"/>
      <c r="H1128"/>
      <c r="I1128"/>
      <c r="J1128"/>
    </row>
    <row r="1129" spans="1:10" x14ac:dyDescent="0.25">
      <c r="A1129"/>
      <c r="B1129"/>
      <c r="C1129"/>
      <c r="D1129"/>
      <c r="E1129"/>
      <c r="F1129"/>
      <c r="G1129"/>
      <c r="H1129"/>
      <c r="I1129"/>
      <c r="J1129"/>
    </row>
    <row r="1130" spans="1:10" x14ac:dyDescent="0.25">
      <c r="A1130"/>
      <c r="B1130"/>
      <c r="C1130"/>
      <c r="D1130"/>
      <c r="E1130"/>
      <c r="F1130"/>
      <c r="G1130"/>
      <c r="H1130"/>
      <c r="I1130"/>
      <c r="J1130"/>
    </row>
    <row r="1131" spans="1:10" x14ac:dyDescent="0.25">
      <c r="A1131"/>
      <c r="B1131"/>
      <c r="C1131"/>
      <c r="D1131"/>
      <c r="E1131"/>
      <c r="F1131"/>
      <c r="G1131"/>
      <c r="H1131"/>
      <c r="I1131"/>
      <c r="J1131"/>
    </row>
    <row r="1132" spans="1:10" x14ac:dyDescent="0.25">
      <c r="A1132"/>
      <c r="B1132"/>
      <c r="C1132"/>
      <c r="D1132"/>
      <c r="E1132"/>
      <c r="F1132"/>
      <c r="G1132"/>
      <c r="H1132"/>
      <c r="I1132"/>
      <c r="J1132"/>
    </row>
    <row r="1133" spans="1:10" x14ac:dyDescent="0.25">
      <c r="A1133"/>
      <c r="B1133"/>
      <c r="C1133"/>
      <c r="D1133"/>
      <c r="E1133"/>
      <c r="F1133"/>
      <c r="G1133"/>
      <c r="H1133"/>
      <c r="I1133"/>
      <c r="J1133"/>
    </row>
    <row r="1134" spans="1:10" x14ac:dyDescent="0.25">
      <c r="A1134"/>
      <c r="B1134"/>
      <c r="C1134"/>
      <c r="D1134"/>
      <c r="E1134"/>
      <c r="F1134"/>
      <c r="G1134"/>
      <c r="H1134"/>
      <c r="I1134"/>
      <c r="J1134"/>
    </row>
    <row r="1135" spans="1:10" x14ac:dyDescent="0.25">
      <c r="A1135"/>
      <c r="B1135"/>
      <c r="C1135"/>
      <c r="D1135"/>
      <c r="E1135"/>
      <c r="F1135"/>
      <c r="G1135"/>
      <c r="H1135"/>
      <c r="I1135"/>
      <c r="J1135"/>
    </row>
    <row r="1136" spans="1:10" x14ac:dyDescent="0.25">
      <c r="A1136"/>
      <c r="B1136"/>
      <c r="C1136"/>
      <c r="D1136"/>
      <c r="E1136"/>
      <c r="F1136"/>
      <c r="G1136"/>
      <c r="H1136"/>
      <c r="I1136"/>
      <c r="J1136"/>
    </row>
    <row r="1137" spans="1:10" x14ac:dyDescent="0.25">
      <c r="A1137"/>
      <c r="B1137"/>
      <c r="C1137"/>
      <c r="D1137"/>
      <c r="E1137"/>
      <c r="F1137"/>
      <c r="G1137"/>
      <c r="H1137"/>
      <c r="I1137"/>
      <c r="J1137"/>
    </row>
    <row r="1138" spans="1:10" x14ac:dyDescent="0.25">
      <c r="A1138"/>
      <c r="B1138"/>
      <c r="C1138"/>
      <c r="D1138"/>
      <c r="E1138"/>
      <c r="F1138"/>
      <c r="G1138"/>
      <c r="H1138"/>
      <c r="I1138"/>
      <c r="J1138"/>
    </row>
    <row r="1139" spans="1:10" x14ac:dyDescent="0.25">
      <c r="A1139"/>
      <c r="B1139"/>
      <c r="C1139"/>
      <c r="D1139"/>
      <c r="E1139"/>
      <c r="F1139"/>
      <c r="G1139"/>
      <c r="H1139"/>
      <c r="I1139"/>
      <c r="J1139"/>
    </row>
    <row r="1140" spans="1:10" x14ac:dyDescent="0.25">
      <c r="A1140"/>
      <c r="B1140"/>
      <c r="C1140"/>
      <c r="D1140"/>
      <c r="E1140"/>
      <c r="F1140"/>
      <c r="G1140"/>
      <c r="H1140"/>
      <c r="I1140"/>
      <c r="J1140"/>
    </row>
    <row r="1141" spans="1:10" x14ac:dyDescent="0.25">
      <c r="A1141"/>
      <c r="B1141"/>
      <c r="C1141"/>
      <c r="D1141"/>
      <c r="E1141"/>
      <c r="F1141"/>
      <c r="G1141"/>
      <c r="H1141"/>
      <c r="I1141"/>
      <c r="J1141"/>
    </row>
    <row r="1142" spans="1:10" x14ac:dyDescent="0.25">
      <c r="A1142"/>
      <c r="B1142"/>
      <c r="C1142"/>
      <c r="D1142"/>
      <c r="E1142"/>
      <c r="F1142"/>
      <c r="G1142"/>
      <c r="H1142"/>
      <c r="I1142"/>
      <c r="J1142"/>
    </row>
    <row r="1143" spans="1:10" x14ac:dyDescent="0.25">
      <c r="A1143"/>
      <c r="B1143"/>
      <c r="C1143"/>
      <c r="D1143"/>
      <c r="E1143"/>
      <c r="F1143"/>
      <c r="G1143"/>
      <c r="H1143"/>
      <c r="I1143"/>
      <c r="J1143"/>
    </row>
    <row r="1144" spans="1:10" x14ac:dyDescent="0.25">
      <c r="A1144"/>
      <c r="B1144"/>
      <c r="C1144"/>
      <c r="D1144"/>
      <c r="E1144"/>
      <c r="F1144"/>
      <c r="G1144"/>
      <c r="H1144"/>
      <c r="I1144"/>
      <c r="J1144"/>
    </row>
    <row r="1145" spans="1:10" x14ac:dyDescent="0.25">
      <c r="A1145"/>
      <c r="B1145"/>
      <c r="C1145"/>
      <c r="D1145"/>
      <c r="E1145"/>
      <c r="F1145"/>
      <c r="G1145"/>
      <c r="H1145"/>
      <c r="I1145"/>
      <c r="J1145"/>
    </row>
    <row r="1146" spans="1:10" x14ac:dyDescent="0.25">
      <c r="A1146"/>
      <c r="B1146"/>
      <c r="C1146"/>
      <c r="D1146"/>
      <c r="E1146"/>
      <c r="F1146"/>
      <c r="G1146"/>
      <c r="H1146"/>
      <c r="I1146"/>
      <c r="J1146"/>
    </row>
    <row r="1147" spans="1:10" x14ac:dyDescent="0.25">
      <c r="A1147"/>
      <c r="B1147"/>
      <c r="C1147"/>
      <c r="D1147"/>
      <c r="E1147"/>
      <c r="F1147"/>
      <c r="G1147"/>
      <c r="H1147"/>
      <c r="I1147"/>
      <c r="J1147"/>
    </row>
    <row r="1148" spans="1:10" x14ac:dyDescent="0.25">
      <c r="A1148"/>
      <c r="B1148"/>
      <c r="C1148"/>
      <c r="D1148"/>
      <c r="E1148"/>
      <c r="F1148"/>
      <c r="G1148"/>
      <c r="H1148"/>
      <c r="I1148"/>
      <c r="J1148"/>
    </row>
    <row r="1149" spans="1:10" x14ac:dyDescent="0.25">
      <c r="A1149"/>
      <c r="B1149"/>
      <c r="C1149"/>
      <c r="D1149"/>
      <c r="E1149"/>
      <c r="F1149"/>
      <c r="G1149"/>
      <c r="H1149"/>
      <c r="I1149"/>
      <c r="J1149"/>
    </row>
    <row r="1150" spans="1:10" x14ac:dyDescent="0.25">
      <c r="A1150"/>
      <c r="B1150"/>
      <c r="C1150"/>
      <c r="D1150"/>
      <c r="E1150"/>
      <c r="F1150"/>
      <c r="G1150"/>
      <c r="H1150"/>
      <c r="I1150"/>
      <c r="J1150"/>
    </row>
    <row r="1151" spans="1:10" x14ac:dyDescent="0.25">
      <c r="A1151"/>
      <c r="B1151"/>
      <c r="C1151"/>
      <c r="D1151"/>
      <c r="E1151"/>
      <c r="F1151"/>
      <c r="G1151"/>
      <c r="H1151"/>
      <c r="I1151"/>
      <c r="J1151"/>
    </row>
    <row r="1152" spans="1:10" x14ac:dyDescent="0.25">
      <c r="A1152"/>
      <c r="B1152"/>
      <c r="C1152"/>
      <c r="D1152"/>
      <c r="E1152"/>
      <c r="F1152"/>
      <c r="G1152"/>
      <c r="H1152"/>
      <c r="I1152"/>
      <c r="J1152"/>
    </row>
    <row r="1153" spans="1:10" x14ac:dyDescent="0.25">
      <c r="A1153"/>
      <c r="B1153"/>
      <c r="C1153"/>
      <c r="D1153"/>
      <c r="E1153"/>
      <c r="F1153"/>
      <c r="G1153"/>
      <c r="H1153"/>
      <c r="I1153"/>
      <c r="J1153"/>
    </row>
    <row r="1154" spans="1:10" x14ac:dyDescent="0.25">
      <c r="A1154"/>
      <c r="B1154"/>
      <c r="C1154"/>
      <c r="D1154"/>
      <c r="E1154"/>
      <c r="F1154"/>
      <c r="G1154"/>
      <c r="H1154"/>
      <c r="I1154"/>
      <c r="J1154"/>
    </row>
    <row r="1155" spans="1:10" x14ac:dyDescent="0.25">
      <c r="A1155"/>
      <c r="B1155"/>
      <c r="C1155"/>
      <c r="D1155"/>
      <c r="E1155"/>
      <c r="F1155"/>
      <c r="G1155"/>
      <c r="H1155"/>
      <c r="I1155"/>
      <c r="J1155"/>
    </row>
    <row r="1156" spans="1:10" x14ac:dyDescent="0.25">
      <c r="A1156"/>
      <c r="B1156"/>
      <c r="C1156"/>
      <c r="D1156"/>
      <c r="E1156"/>
      <c r="F1156"/>
      <c r="G1156"/>
      <c r="H1156"/>
      <c r="I1156"/>
      <c r="J1156"/>
    </row>
    <row r="1157" spans="1:10" x14ac:dyDescent="0.25">
      <c r="A1157"/>
      <c r="B1157"/>
      <c r="C1157"/>
      <c r="D1157"/>
      <c r="E1157"/>
      <c r="F1157"/>
      <c r="G1157"/>
      <c r="H1157"/>
      <c r="I1157"/>
      <c r="J1157"/>
    </row>
    <row r="1158" spans="1:10" x14ac:dyDescent="0.25">
      <c r="A1158"/>
      <c r="B1158"/>
      <c r="C1158"/>
      <c r="D1158"/>
      <c r="E1158"/>
      <c r="F1158"/>
      <c r="G1158"/>
      <c r="H1158"/>
      <c r="I1158"/>
      <c r="J1158"/>
    </row>
    <row r="1159" spans="1:10" x14ac:dyDescent="0.25">
      <c r="A1159"/>
      <c r="B1159"/>
      <c r="C1159"/>
      <c r="D1159"/>
      <c r="E1159"/>
      <c r="F1159"/>
      <c r="G1159"/>
      <c r="H1159"/>
      <c r="I1159"/>
      <c r="J1159"/>
    </row>
    <row r="1160" spans="1:10" x14ac:dyDescent="0.25">
      <c r="A1160"/>
      <c r="B1160"/>
      <c r="C1160"/>
      <c r="D1160"/>
      <c r="E1160"/>
      <c r="F1160"/>
      <c r="G1160"/>
      <c r="H1160"/>
      <c r="I1160"/>
      <c r="J1160"/>
    </row>
    <row r="1161" spans="1:10" x14ac:dyDescent="0.25">
      <c r="A1161"/>
      <c r="B1161"/>
      <c r="C1161"/>
      <c r="D1161"/>
      <c r="E1161"/>
      <c r="F1161"/>
      <c r="G1161"/>
      <c r="H1161"/>
      <c r="I1161"/>
      <c r="J1161"/>
    </row>
    <row r="1162" spans="1:10" x14ac:dyDescent="0.25">
      <c r="A1162"/>
      <c r="B1162"/>
      <c r="C1162"/>
      <c r="D1162"/>
      <c r="E1162"/>
      <c r="F1162"/>
      <c r="G1162"/>
      <c r="H1162"/>
      <c r="I1162"/>
      <c r="J1162"/>
    </row>
    <row r="1163" spans="1:10" x14ac:dyDescent="0.25">
      <c r="A1163"/>
      <c r="B1163"/>
      <c r="C1163"/>
      <c r="D1163"/>
      <c r="E1163"/>
      <c r="F1163"/>
      <c r="G1163"/>
      <c r="H1163"/>
      <c r="I1163"/>
      <c r="J1163"/>
    </row>
    <row r="1164" spans="1:10" x14ac:dyDescent="0.25">
      <c r="A1164"/>
      <c r="B1164"/>
      <c r="C1164"/>
      <c r="D1164"/>
      <c r="E1164"/>
      <c r="F1164"/>
      <c r="G1164"/>
      <c r="H1164"/>
      <c r="I1164"/>
      <c r="J1164"/>
    </row>
    <row r="1165" spans="1:10" x14ac:dyDescent="0.25">
      <c r="A1165"/>
      <c r="B1165"/>
      <c r="C1165"/>
      <c r="D1165"/>
      <c r="E1165"/>
      <c r="F1165"/>
      <c r="G1165"/>
      <c r="H1165"/>
      <c r="I1165"/>
      <c r="J1165"/>
    </row>
    <row r="1166" spans="1:10" x14ac:dyDescent="0.25">
      <c r="A1166"/>
      <c r="B1166"/>
      <c r="C1166"/>
      <c r="D1166"/>
      <c r="E1166"/>
      <c r="F1166"/>
      <c r="G1166"/>
      <c r="H1166"/>
      <c r="I1166"/>
      <c r="J1166"/>
    </row>
    <row r="1167" spans="1:10" x14ac:dyDescent="0.25">
      <c r="A1167"/>
      <c r="B1167"/>
      <c r="C1167"/>
      <c r="D1167"/>
      <c r="E1167"/>
      <c r="F1167"/>
      <c r="G1167"/>
      <c r="H1167"/>
      <c r="I1167"/>
      <c r="J1167"/>
    </row>
    <row r="1168" spans="1:10" x14ac:dyDescent="0.25">
      <c r="A1168"/>
      <c r="B1168"/>
      <c r="C1168"/>
      <c r="D1168"/>
      <c r="E1168"/>
      <c r="F1168"/>
      <c r="G1168"/>
      <c r="H1168"/>
      <c r="I1168"/>
      <c r="J1168"/>
    </row>
    <row r="1169" spans="1:10" x14ac:dyDescent="0.25">
      <c r="A1169"/>
      <c r="B1169"/>
      <c r="C1169"/>
      <c r="D1169"/>
      <c r="E1169"/>
      <c r="F1169"/>
      <c r="G1169"/>
      <c r="H1169"/>
      <c r="I1169"/>
      <c r="J1169"/>
    </row>
    <row r="1170" spans="1:10" x14ac:dyDescent="0.25">
      <c r="A1170"/>
      <c r="B1170"/>
      <c r="C1170"/>
      <c r="D1170"/>
      <c r="E1170"/>
      <c r="F1170"/>
      <c r="G1170"/>
      <c r="H1170"/>
      <c r="I1170"/>
      <c r="J1170"/>
    </row>
    <row r="1171" spans="1:10" x14ac:dyDescent="0.25">
      <c r="A1171"/>
      <c r="B1171"/>
      <c r="C1171"/>
      <c r="D1171"/>
      <c r="E1171"/>
      <c r="F1171"/>
      <c r="G1171"/>
      <c r="H1171"/>
      <c r="I1171"/>
      <c r="J1171"/>
    </row>
    <row r="1172" spans="1:10" x14ac:dyDescent="0.25">
      <c r="A1172"/>
      <c r="B1172"/>
      <c r="C1172"/>
      <c r="D1172"/>
      <c r="E1172"/>
      <c r="F1172"/>
      <c r="G1172"/>
      <c r="H1172"/>
      <c r="I1172"/>
      <c r="J1172"/>
    </row>
    <row r="1173" spans="1:10" x14ac:dyDescent="0.25">
      <c r="A1173"/>
      <c r="B1173"/>
      <c r="C1173"/>
      <c r="D1173"/>
      <c r="E1173"/>
      <c r="F1173"/>
      <c r="G1173"/>
      <c r="H1173"/>
      <c r="I1173"/>
      <c r="J1173"/>
    </row>
    <row r="1174" spans="1:10" x14ac:dyDescent="0.25">
      <c r="A1174"/>
      <c r="B1174"/>
      <c r="C1174"/>
      <c r="D1174"/>
      <c r="E1174"/>
      <c r="F1174"/>
      <c r="G1174"/>
      <c r="H1174"/>
      <c r="I1174"/>
      <c r="J1174"/>
    </row>
    <row r="1175" spans="1:10" x14ac:dyDescent="0.25">
      <c r="A1175"/>
      <c r="B1175"/>
      <c r="C1175"/>
      <c r="D1175"/>
      <c r="E1175"/>
      <c r="F1175"/>
      <c r="G1175"/>
      <c r="H1175"/>
      <c r="I1175"/>
      <c r="J1175"/>
    </row>
    <row r="1176" spans="1:10" x14ac:dyDescent="0.25">
      <c r="A1176"/>
      <c r="B1176"/>
      <c r="C1176"/>
      <c r="D1176"/>
      <c r="E1176"/>
      <c r="F1176"/>
      <c r="G1176"/>
      <c r="H1176"/>
      <c r="I1176"/>
      <c r="J1176"/>
    </row>
    <row r="1177" spans="1:10" x14ac:dyDescent="0.25">
      <c r="A1177"/>
      <c r="B1177"/>
      <c r="C1177"/>
      <c r="D1177"/>
      <c r="E1177"/>
      <c r="F1177"/>
      <c r="G1177"/>
      <c r="H1177"/>
      <c r="I1177"/>
      <c r="J1177"/>
    </row>
    <row r="1178" spans="1:10" x14ac:dyDescent="0.25">
      <c r="A1178"/>
      <c r="B1178"/>
      <c r="C1178"/>
      <c r="D1178"/>
      <c r="E1178"/>
      <c r="F1178"/>
      <c r="G1178"/>
      <c r="H1178"/>
      <c r="I1178"/>
      <c r="J1178"/>
    </row>
    <row r="1179" spans="1:10" x14ac:dyDescent="0.25">
      <c r="A1179"/>
      <c r="B1179"/>
      <c r="C1179"/>
      <c r="D1179"/>
      <c r="E1179"/>
      <c r="F1179"/>
      <c r="G1179"/>
      <c r="H1179"/>
      <c r="I1179"/>
      <c r="J1179"/>
    </row>
    <row r="1180" spans="1:10" x14ac:dyDescent="0.25">
      <c r="A1180"/>
      <c r="B1180"/>
      <c r="C1180"/>
      <c r="D1180"/>
      <c r="E1180"/>
      <c r="F1180"/>
      <c r="G1180"/>
      <c r="H1180"/>
      <c r="I1180"/>
      <c r="J1180"/>
    </row>
    <row r="1181" spans="1:10" x14ac:dyDescent="0.25">
      <c r="A1181"/>
      <c r="B1181"/>
      <c r="C1181"/>
      <c r="D1181"/>
      <c r="E1181"/>
      <c r="F1181"/>
      <c r="G1181"/>
      <c r="H1181"/>
      <c r="I1181"/>
      <c r="J1181"/>
    </row>
    <row r="1182" spans="1:10" x14ac:dyDescent="0.25">
      <c r="A1182"/>
      <c r="B1182"/>
      <c r="C1182"/>
      <c r="D1182"/>
      <c r="E1182"/>
      <c r="F1182"/>
      <c r="G1182"/>
      <c r="H1182"/>
      <c r="I1182"/>
      <c r="J1182"/>
    </row>
    <row r="1183" spans="1:10" x14ac:dyDescent="0.25">
      <c r="A1183"/>
      <c r="B1183"/>
      <c r="C1183"/>
      <c r="D1183"/>
      <c r="E1183"/>
      <c r="F1183"/>
      <c r="G1183"/>
      <c r="H1183"/>
      <c r="I1183"/>
      <c r="J1183"/>
    </row>
    <row r="1184" spans="1:10" x14ac:dyDescent="0.25">
      <c r="A1184"/>
      <c r="B1184"/>
      <c r="C1184"/>
      <c r="D1184"/>
      <c r="E1184"/>
      <c r="F1184"/>
      <c r="G1184"/>
      <c r="H1184"/>
      <c r="I1184"/>
      <c r="J1184"/>
    </row>
    <row r="1185" spans="1:10" x14ac:dyDescent="0.25">
      <c r="A1185"/>
      <c r="B1185"/>
      <c r="C1185"/>
      <c r="D1185"/>
      <c r="E1185"/>
      <c r="F1185"/>
      <c r="G1185"/>
      <c r="H1185"/>
      <c r="I1185"/>
      <c r="J1185"/>
    </row>
    <row r="1186" spans="1:10" x14ac:dyDescent="0.25">
      <c r="A1186"/>
      <c r="B1186"/>
      <c r="C1186"/>
      <c r="D1186"/>
      <c r="E1186"/>
      <c r="F1186"/>
      <c r="G1186"/>
      <c r="H1186"/>
      <c r="I1186"/>
      <c r="J1186"/>
    </row>
    <row r="1187" spans="1:10" x14ac:dyDescent="0.25">
      <c r="A1187"/>
      <c r="B1187"/>
      <c r="C1187"/>
      <c r="D1187"/>
      <c r="E1187"/>
      <c r="F1187"/>
      <c r="G1187"/>
      <c r="H1187"/>
      <c r="I1187"/>
      <c r="J1187"/>
    </row>
    <row r="1188" spans="1:10" x14ac:dyDescent="0.25">
      <c r="A1188"/>
      <c r="B1188"/>
      <c r="C1188"/>
      <c r="D1188"/>
      <c r="E1188"/>
      <c r="F1188"/>
      <c r="G1188"/>
      <c r="H1188"/>
      <c r="I1188"/>
      <c r="J1188"/>
    </row>
    <row r="1189" spans="1:10" x14ac:dyDescent="0.25">
      <c r="A1189"/>
      <c r="B1189"/>
      <c r="C1189"/>
      <c r="D1189"/>
      <c r="E1189"/>
      <c r="F1189"/>
      <c r="G1189"/>
      <c r="H1189"/>
      <c r="I1189"/>
      <c r="J1189"/>
    </row>
    <row r="1190" spans="1:10" x14ac:dyDescent="0.25">
      <c r="A1190"/>
      <c r="B1190"/>
      <c r="C1190"/>
      <c r="D1190"/>
      <c r="E1190"/>
      <c r="F1190"/>
      <c r="G1190"/>
      <c r="H1190"/>
      <c r="I1190"/>
      <c r="J1190"/>
    </row>
    <row r="1191" spans="1:10" x14ac:dyDescent="0.25">
      <c r="A1191"/>
      <c r="B1191"/>
      <c r="C1191"/>
      <c r="D1191"/>
      <c r="E1191"/>
      <c r="F1191"/>
      <c r="G1191"/>
      <c r="H1191"/>
      <c r="I1191"/>
      <c r="J1191"/>
    </row>
    <row r="1192" spans="1:10" x14ac:dyDescent="0.25">
      <c r="A1192"/>
      <c r="B1192"/>
      <c r="C1192"/>
      <c r="D1192"/>
      <c r="E1192"/>
      <c r="F1192"/>
      <c r="G1192"/>
      <c r="H1192"/>
      <c r="I1192"/>
      <c r="J1192"/>
    </row>
    <row r="1193" spans="1:10" x14ac:dyDescent="0.25">
      <c r="A1193"/>
      <c r="B1193"/>
      <c r="C1193"/>
      <c r="D1193"/>
      <c r="E1193"/>
      <c r="F1193"/>
      <c r="G1193"/>
      <c r="H1193"/>
      <c r="I1193"/>
      <c r="J1193"/>
    </row>
    <row r="1194" spans="1:10" x14ac:dyDescent="0.25">
      <c r="A1194"/>
      <c r="B1194"/>
      <c r="C1194"/>
      <c r="D1194"/>
      <c r="E1194"/>
      <c r="F1194"/>
      <c r="G1194"/>
      <c r="H1194"/>
      <c r="I1194"/>
      <c r="J1194"/>
    </row>
    <row r="1195" spans="1:10" x14ac:dyDescent="0.25">
      <c r="A1195"/>
      <c r="B1195"/>
      <c r="C1195"/>
      <c r="D1195"/>
      <c r="E1195"/>
      <c r="F1195"/>
      <c r="G1195"/>
      <c r="H1195"/>
      <c r="I1195"/>
      <c r="J1195"/>
    </row>
    <row r="1196" spans="1:10" x14ac:dyDescent="0.25">
      <c r="A1196"/>
      <c r="B1196"/>
      <c r="C1196"/>
      <c r="D1196"/>
      <c r="E1196"/>
      <c r="F1196"/>
      <c r="G1196"/>
      <c r="H1196"/>
      <c r="I1196"/>
      <c r="J1196"/>
    </row>
    <row r="1197" spans="1:10" x14ac:dyDescent="0.25">
      <c r="A1197"/>
      <c r="B1197"/>
      <c r="C1197"/>
      <c r="D1197"/>
      <c r="E1197"/>
      <c r="F1197"/>
      <c r="G1197"/>
      <c r="H1197"/>
      <c r="I1197"/>
      <c r="J1197"/>
    </row>
    <row r="1198" spans="1:10" x14ac:dyDescent="0.25">
      <c r="A1198"/>
      <c r="B1198"/>
      <c r="C1198"/>
      <c r="D1198"/>
      <c r="E1198"/>
      <c r="F1198"/>
      <c r="G1198"/>
      <c r="H1198"/>
      <c r="I1198"/>
      <c r="J1198"/>
    </row>
    <row r="1199" spans="1:10" x14ac:dyDescent="0.25">
      <c r="A1199"/>
      <c r="B1199"/>
      <c r="C1199"/>
      <c r="D1199"/>
      <c r="E1199"/>
      <c r="F1199"/>
      <c r="G1199"/>
      <c r="H1199"/>
      <c r="I1199"/>
      <c r="J1199"/>
    </row>
    <row r="1200" spans="1:10" x14ac:dyDescent="0.25">
      <c r="A1200"/>
      <c r="B1200"/>
      <c r="C1200"/>
      <c r="D1200"/>
      <c r="E1200"/>
      <c r="F1200"/>
      <c r="G1200"/>
      <c r="H1200"/>
      <c r="I1200"/>
      <c r="J1200"/>
    </row>
    <row r="1201" spans="1:10" x14ac:dyDescent="0.25">
      <c r="A1201"/>
      <c r="B1201"/>
      <c r="C1201"/>
      <c r="D1201"/>
      <c r="E1201"/>
      <c r="F1201"/>
      <c r="G1201"/>
      <c r="H1201"/>
      <c r="I1201"/>
      <c r="J1201"/>
    </row>
    <row r="1202" spans="1:10" x14ac:dyDescent="0.25">
      <c r="A1202"/>
      <c r="B1202"/>
      <c r="C1202"/>
      <c r="D1202"/>
      <c r="E1202"/>
      <c r="F1202"/>
      <c r="G1202"/>
      <c r="H1202"/>
      <c r="I1202"/>
      <c r="J1202"/>
    </row>
    <row r="1203" spans="1:10" x14ac:dyDescent="0.25">
      <c r="A1203"/>
      <c r="B1203"/>
      <c r="C1203"/>
      <c r="D1203"/>
      <c r="E1203"/>
      <c r="F1203"/>
      <c r="G1203"/>
      <c r="H1203"/>
      <c r="I1203"/>
      <c r="J1203"/>
    </row>
    <row r="1204" spans="1:10" x14ac:dyDescent="0.25">
      <c r="A1204"/>
      <c r="B1204"/>
      <c r="C1204"/>
      <c r="D1204"/>
      <c r="E1204"/>
      <c r="F1204"/>
      <c r="G1204"/>
      <c r="H1204"/>
      <c r="I1204"/>
      <c r="J1204"/>
    </row>
    <row r="1205" spans="1:10" x14ac:dyDescent="0.25">
      <c r="A1205"/>
      <c r="B1205"/>
      <c r="C1205"/>
      <c r="D1205"/>
      <c r="E1205"/>
      <c r="F1205"/>
      <c r="G1205"/>
      <c r="H1205"/>
      <c r="I1205"/>
      <c r="J1205"/>
    </row>
    <row r="1206" spans="1:10" x14ac:dyDescent="0.25">
      <c r="A1206"/>
      <c r="B1206"/>
      <c r="C1206"/>
      <c r="D1206"/>
      <c r="E1206"/>
      <c r="F1206"/>
      <c r="G1206"/>
      <c r="H1206"/>
      <c r="I1206"/>
      <c r="J1206"/>
    </row>
    <row r="1207" spans="1:10" x14ac:dyDescent="0.25">
      <c r="A1207"/>
      <c r="B1207"/>
      <c r="C1207"/>
      <c r="D1207"/>
      <c r="E1207"/>
      <c r="F1207"/>
      <c r="G1207"/>
      <c r="H1207"/>
      <c r="I1207"/>
      <c r="J1207"/>
    </row>
    <row r="1208" spans="1:10" x14ac:dyDescent="0.25">
      <c r="A1208"/>
      <c r="B1208"/>
      <c r="C1208"/>
      <c r="D1208"/>
      <c r="E1208"/>
      <c r="F1208"/>
      <c r="G1208"/>
      <c r="H1208"/>
      <c r="I1208"/>
      <c r="J1208"/>
    </row>
    <row r="1209" spans="1:10" x14ac:dyDescent="0.25">
      <c r="A1209"/>
      <c r="B1209"/>
      <c r="C1209"/>
      <c r="D1209"/>
      <c r="E1209"/>
      <c r="F1209"/>
      <c r="G1209"/>
      <c r="H1209"/>
      <c r="I1209"/>
      <c r="J1209"/>
    </row>
    <row r="1210" spans="1:10" x14ac:dyDescent="0.25">
      <c r="A1210"/>
      <c r="B1210"/>
      <c r="C1210"/>
      <c r="D1210"/>
      <c r="E1210"/>
      <c r="F1210"/>
      <c r="G1210"/>
      <c r="H1210"/>
      <c r="I1210"/>
      <c r="J1210"/>
    </row>
    <row r="1211" spans="1:10" x14ac:dyDescent="0.25">
      <c r="A1211"/>
      <c r="B1211"/>
      <c r="C1211"/>
      <c r="D1211"/>
      <c r="E1211"/>
      <c r="F1211"/>
      <c r="G1211"/>
      <c r="H1211"/>
      <c r="I1211"/>
      <c r="J1211"/>
    </row>
    <row r="1212" spans="1:10" x14ac:dyDescent="0.25">
      <c r="A1212"/>
      <c r="B1212"/>
      <c r="C1212"/>
      <c r="D1212"/>
      <c r="E1212"/>
      <c r="F1212"/>
      <c r="G1212"/>
      <c r="H1212"/>
      <c r="I1212"/>
      <c r="J1212"/>
    </row>
    <row r="1213" spans="1:10" x14ac:dyDescent="0.25">
      <c r="A1213"/>
      <c r="B1213"/>
      <c r="C1213"/>
      <c r="D1213"/>
      <c r="E1213"/>
      <c r="F1213"/>
      <c r="G1213"/>
      <c r="H1213"/>
      <c r="I1213"/>
      <c r="J1213"/>
    </row>
    <row r="1214" spans="1:10" x14ac:dyDescent="0.25">
      <c r="A1214"/>
      <c r="B1214"/>
      <c r="C1214"/>
      <c r="D1214"/>
      <c r="E1214"/>
      <c r="F1214"/>
      <c r="G1214"/>
      <c r="H1214"/>
      <c r="I1214"/>
      <c r="J1214"/>
    </row>
    <row r="1215" spans="1:10" x14ac:dyDescent="0.25">
      <c r="A1215"/>
      <c r="B1215"/>
      <c r="C1215"/>
      <c r="D1215"/>
      <c r="E1215"/>
      <c r="F1215"/>
      <c r="G1215"/>
      <c r="H1215"/>
      <c r="I1215"/>
      <c r="J1215"/>
    </row>
    <row r="1216" spans="1:10" x14ac:dyDescent="0.25">
      <c r="A1216"/>
      <c r="B1216"/>
      <c r="C1216"/>
      <c r="D1216"/>
      <c r="E1216"/>
      <c r="F1216"/>
      <c r="G1216"/>
      <c r="H1216"/>
      <c r="I1216"/>
      <c r="J1216"/>
    </row>
    <row r="1217" spans="1:10" x14ac:dyDescent="0.25">
      <c r="A1217"/>
      <c r="B1217"/>
      <c r="C1217"/>
      <c r="D1217"/>
      <c r="E1217"/>
      <c r="F1217"/>
      <c r="G1217"/>
      <c r="H1217"/>
      <c r="I1217"/>
      <c r="J1217"/>
    </row>
    <row r="1218" spans="1:10" x14ac:dyDescent="0.25">
      <c r="A1218"/>
      <c r="B1218"/>
      <c r="C1218"/>
      <c r="D1218"/>
      <c r="E1218"/>
      <c r="F1218"/>
      <c r="G1218"/>
      <c r="H1218"/>
      <c r="I1218"/>
      <c r="J1218"/>
    </row>
    <row r="1219" spans="1:10" x14ac:dyDescent="0.25">
      <c r="A1219"/>
      <c r="B1219"/>
      <c r="C1219"/>
      <c r="D1219"/>
      <c r="E1219"/>
      <c r="F1219"/>
      <c r="G1219"/>
      <c r="H1219"/>
      <c r="I1219"/>
      <c r="J1219"/>
    </row>
    <row r="1220" spans="1:10" x14ac:dyDescent="0.25">
      <c r="A1220"/>
      <c r="B1220"/>
      <c r="C1220"/>
      <c r="D1220"/>
      <c r="E1220"/>
      <c r="F1220"/>
      <c r="G1220"/>
      <c r="H1220"/>
      <c r="I1220"/>
      <c r="J1220"/>
    </row>
    <row r="1221" spans="1:10" x14ac:dyDescent="0.25">
      <c r="A1221"/>
      <c r="B1221"/>
      <c r="C1221"/>
      <c r="D1221"/>
      <c r="E1221"/>
      <c r="F1221"/>
      <c r="G1221"/>
      <c r="H1221"/>
      <c r="I1221"/>
      <c r="J1221"/>
    </row>
    <row r="1222" spans="1:10" x14ac:dyDescent="0.25">
      <c r="A1222"/>
      <c r="B1222"/>
      <c r="C1222"/>
      <c r="D1222"/>
      <c r="E1222"/>
      <c r="F1222"/>
      <c r="G1222"/>
      <c r="H1222"/>
      <c r="I1222"/>
      <c r="J1222"/>
    </row>
    <row r="1223" spans="1:10" x14ac:dyDescent="0.25">
      <c r="A1223"/>
      <c r="B1223"/>
      <c r="C1223"/>
      <c r="D1223"/>
      <c r="E1223"/>
      <c r="F1223"/>
      <c r="G1223"/>
      <c r="H1223"/>
      <c r="I1223"/>
      <c r="J1223"/>
    </row>
    <row r="1224" spans="1:10" x14ac:dyDescent="0.25">
      <c r="A1224"/>
      <c r="B1224"/>
      <c r="C1224"/>
      <c r="D1224"/>
      <c r="E1224"/>
      <c r="F1224"/>
      <c r="G1224"/>
      <c r="H1224"/>
      <c r="I1224"/>
      <c r="J1224"/>
    </row>
    <row r="1225" spans="1:10" x14ac:dyDescent="0.25">
      <c r="A1225"/>
      <c r="B1225"/>
      <c r="C1225"/>
      <c r="D1225"/>
      <c r="E1225"/>
      <c r="F1225"/>
      <c r="G1225"/>
      <c r="H1225"/>
      <c r="I1225"/>
      <c r="J1225"/>
    </row>
    <row r="1226" spans="1:10" x14ac:dyDescent="0.25">
      <c r="A1226"/>
      <c r="B1226"/>
      <c r="C1226"/>
      <c r="D1226"/>
      <c r="E1226"/>
      <c r="F1226"/>
      <c r="G1226"/>
      <c r="H1226"/>
      <c r="I1226"/>
      <c r="J1226"/>
    </row>
    <row r="1227" spans="1:10" x14ac:dyDescent="0.25">
      <c r="A1227"/>
      <c r="B1227"/>
      <c r="C1227"/>
      <c r="D1227"/>
      <c r="E1227"/>
      <c r="F1227"/>
      <c r="G1227"/>
      <c r="H1227"/>
      <c r="I1227"/>
      <c r="J1227"/>
    </row>
    <row r="1228" spans="1:10" x14ac:dyDescent="0.25">
      <c r="A1228"/>
      <c r="B1228"/>
      <c r="C1228"/>
      <c r="D1228"/>
      <c r="E1228"/>
      <c r="F1228"/>
      <c r="G1228"/>
      <c r="H1228"/>
      <c r="I1228"/>
      <c r="J1228"/>
    </row>
    <row r="1229" spans="1:10" x14ac:dyDescent="0.25">
      <c r="A1229"/>
      <c r="B1229"/>
      <c r="C1229"/>
      <c r="D1229"/>
      <c r="E1229"/>
      <c r="F1229"/>
      <c r="G1229"/>
      <c r="H1229"/>
      <c r="I1229"/>
      <c r="J1229"/>
    </row>
    <row r="1230" spans="1:10" x14ac:dyDescent="0.25">
      <c r="A1230"/>
      <c r="B1230"/>
      <c r="C1230"/>
      <c r="D1230"/>
      <c r="E1230"/>
      <c r="F1230"/>
      <c r="G1230"/>
      <c r="H1230"/>
      <c r="I1230"/>
      <c r="J1230"/>
    </row>
    <row r="1231" spans="1:10" x14ac:dyDescent="0.25">
      <c r="A1231"/>
      <c r="B1231"/>
      <c r="C1231"/>
      <c r="D1231"/>
      <c r="E1231"/>
      <c r="F1231"/>
      <c r="G1231"/>
      <c r="H1231"/>
      <c r="I1231"/>
      <c r="J1231"/>
    </row>
    <row r="1232" spans="1:10" x14ac:dyDescent="0.25">
      <c r="A1232"/>
      <c r="B1232"/>
      <c r="C1232"/>
      <c r="D1232"/>
      <c r="E1232"/>
      <c r="F1232"/>
      <c r="G1232"/>
      <c r="H1232"/>
      <c r="I1232"/>
      <c r="J1232"/>
    </row>
    <row r="1233" spans="1:10" x14ac:dyDescent="0.25">
      <c r="A1233"/>
      <c r="B1233"/>
      <c r="C1233"/>
      <c r="D1233"/>
      <c r="E1233"/>
      <c r="F1233"/>
      <c r="G1233"/>
      <c r="H1233"/>
      <c r="I1233"/>
      <c r="J1233"/>
    </row>
    <row r="1234" spans="1:10" x14ac:dyDescent="0.25">
      <c r="A1234"/>
      <c r="B1234"/>
      <c r="C1234"/>
      <c r="D1234"/>
      <c r="E1234"/>
      <c r="F1234"/>
      <c r="G1234"/>
      <c r="H1234"/>
      <c r="I1234"/>
      <c r="J1234"/>
    </row>
    <row r="1235" spans="1:10" x14ac:dyDescent="0.25">
      <c r="A1235"/>
      <c r="B1235"/>
      <c r="C1235"/>
      <c r="D1235"/>
      <c r="E1235"/>
      <c r="F1235"/>
      <c r="G1235"/>
      <c r="H1235"/>
      <c r="I1235"/>
      <c r="J1235"/>
    </row>
    <row r="1236" spans="1:10" x14ac:dyDescent="0.25">
      <c r="A1236"/>
      <c r="B1236"/>
      <c r="C1236"/>
      <c r="D1236"/>
      <c r="E1236"/>
      <c r="F1236"/>
      <c r="G1236"/>
      <c r="H1236"/>
      <c r="I1236"/>
      <c r="J1236"/>
    </row>
    <row r="1237" spans="1:10" x14ac:dyDescent="0.25">
      <c r="A1237"/>
      <c r="B1237"/>
      <c r="C1237"/>
      <c r="D1237"/>
      <c r="E1237"/>
      <c r="F1237"/>
      <c r="G1237"/>
      <c r="H1237"/>
      <c r="I1237"/>
      <c r="J1237"/>
    </row>
    <row r="1238" spans="1:10" x14ac:dyDescent="0.25">
      <c r="A1238"/>
      <c r="B1238"/>
      <c r="C1238"/>
      <c r="D1238"/>
      <c r="E1238"/>
      <c r="F1238"/>
      <c r="G1238"/>
      <c r="H1238"/>
      <c r="I1238"/>
      <c r="J1238"/>
    </row>
    <row r="1239" spans="1:10" x14ac:dyDescent="0.25">
      <c r="A1239"/>
      <c r="B1239"/>
      <c r="C1239"/>
      <c r="D1239"/>
      <c r="E1239"/>
      <c r="F1239"/>
      <c r="G1239"/>
      <c r="H1239"/>
      <c r="I1239"/>
      <c r="J1239"/>
    </row>
    <row r="1240" spans="1:10" x14ac:dyDescent="0.25">
      <c r="A1240"/>
      <c r="B1240"/>
      <c r="C1240"/>
      <c r="D1240"/>
      <c r="E1240"/>
      <c r="F1240"/>
      <c r="G1240"/>
      <c r="H1240"/>
      <c r="I1240"/>
      <c r="J1240"/>
    </row>
    <row r="1241" spans="1:10" x14ac:dyDescent="0.25">
      <c r="A1241"/>
      <c r="B1241"/>
      <c r="C1241"/>
      <c r="D1241"/>
      <c r="E1241"/>
      <c r="F1241"/>
      <c r="G1241"/>
      <c r="H1241"/>
      <c r="I1241"/>
      <c r="J1241"/>
    </row>
    <row r="1242" spans="1:10" x14ac:dyDescent="0.25">
      <c r="A1242"/>
      <c r="B1242"/>
      <c r="C1242"/>
      <c r="D1242"/>
      <c r="E1242"/>
      <c r="F1242"/>
      <c r="G1242"/>
      <c r="H1242"/>
      <c r="I1242"/>
      <c r="J1242"/>
    </row>
    <row r="1243" spans="1:10" x14ac:dyDescent="0.25">
      <c r="A1243"/>
      <c r="B1243"/>
      <c r="C1243"/>
      <c r="D1243"/>
      <c r="E1243"/>
      <c r="F1243"/>
      <c r="G1243"/>
      <c r="H1243"/>
      <c r="I1243"/>
      <c r="J1243"/>
    </row>
    <row r="1244" spans="1:10" x14ac:dyDescent="0.25">
      <c r="A1244"/>
      <c r="B1244"/>
      <c r="C1244"/>
      <c r="D1244"/>
      <c r="E1244"/>
      <c r="F1244"/>
      <c r="G1244"/>
      <c r="H1244"/>
      <c r="I1244"/>
      <c r="J1244"/>
    </row>
    <row r="1245" spans="1:10" x14ac:dyDescent="0.25">
      <c r="A1245"/>
      <c r="B1245"/>
      <c r="C1245"/>
      <c r="D1245"/>
      <c r="E1245"/>
      <c r="F1245"/>
      <c r="G1245"/>
      <c r="H1245"/>
      <c r="I1245"/>
      <c r="J1245"/>
    </row>
    <row r="1246" spans="1:10" x14ac:dyDescent="0.25">
      <c r="A1246"/>
      <c r="B1246"/>
      <c r="C1246"/>
      <c r="D1246"/>
      <c r="E1246"/>
      <c r="F1246"/>
      <c r="G1246"/>
      <c r="H1246"/>
      <c r="I1246"/>
      <c r="J1246"/>
    </row>
    <row r="1247" spans="1:10" x14ac:dyDescent="0.25">
      <c r="A1247"/>
      <c r="B1247"/>
      <c r="C1247"/>
      <c r="D1247"/>
      <c r="E1247"/>
      <c r="F1247"/>
      <c r="G1247"/>
      <c r="H1247"/>
      <c r="I1247"/>
      <c r="J1247"/>
    </row>
    <row r="1248" spans="1:10" x14ac:dyDescent="0.25">
      <c r="A1248"/>
      <c r="B1248"/>
      <c r="C1248"/>
      <c r="D1248"/>
      <c r="E1248"/>
      <c r="F1248"/>
      <c r="G1248"/>
      <c r="H1248"/>
      <c r="I1248"/>
      <c r="J1248"/>
    </row>
    <row r="1249" spans="1:10" x14ac:dyDescent="0.25">
      <c r="A1249"/>
      <c r="B1249"/>
      <c r="C1249"/>
      <c r="D1249"/>
      <c r="E1249"/>
      <c r="F1249"/>
      <c r="G1249"/>
      <c r="H1249"/>
      <c r="I1249"/>
      <c r="J1249"/>
    </row>
    <row r="1250" spans="1:10" x14ac:dyDescent="0.25">
      <c r="A1250"/>
      <c r="B1250"/>
      <c r="C1250"/>
      <c r="D1250"/>
      <c r="E1250"/>
      <c r="F1250"/>
      <c r="G1250"/>
      <c r="H1250"/>
      <c r="I1250"/>
      <c r="J1250"/>
    </row>
    <row r="1251" spans="1:10" x14ac:dyDescent="0.25">
      <c r="A1251"/>
      <c r="B1251"/>
      <c r="C1251"/>
      <c r="D1251"/>
      <c r="E1251"/>
      <c r="F1251"/>
      <c r="G1251"/>
      <c r="H1251"/>
      <c r="I1251"/>
      <c r="J1251"/>
    </row>
    <row r="1252" spans="1:10" x14ac:dyDescent="0.25">
      <c r="A1252"/>
      <c r="B1252"/>
      <c r="C1252"/>
      <c r="D1252"/>
      <c r="E1252"/>
      <c r="F1252"/>
      <c r="G1252"/>
      <c r="H1252"/>
      <c r="I1252"/>
      <c r="J1252"/>
    </row>
    <row r="1253" spans="1:10" x14ac:dyDescent="0.25">
      <c r="A1253"/>
      <c r="B1253"/>
      <c r="C1253"/>
      <c r="D1253"/>
      <c r="E1253"/>
      <c r="F1253"/>
      <c r="G1253"/>
      <c r="H1253"/>
      <c r="I1253"/>
      <c r="J1253"/>
    </row>
    <row r="1254" spans="1:10" x14ac:dyDescent="0.25">
      <c r="A1254"/>
      <c r="B1254"/>
      <c r="C1254"/>
      <c r="D1254"/>
      <c r="E1254"/>
      <c r="F1254"/>
      <c r="G1254"/>
      <c r="H1254"/>
      <c r="I1254"/>
      <c r="J1254"/>
    </row>
    <row r="1255" spans="1:10" x14ac:dyDescent="0.25">
      <c r="A1255"/>
      <c r="B1255"/>
      <c r="C1255"/>
      <c r="D1255"/>
      <c r="E1255"/>
      <c r="F1255"/>
      <c r="G1255"/>
      <c r="H1255"/>
      <c r="I1255"/>
      <c r="J1255"/>
    </row>
    <row r="1256" spans="1:10" x14ac:dyDescent="0.25">
      <c r="A1256"/>
      <c r="B1256"/>
      <c r="C1256"/>
      <c r="D1256"/>
      <c r="E1256"/>
      <c r="F1256"/>
      <c r="G1256"/>
      <c r="H1256"/>
      <c r="I1256"/>
      <c r="J1256"/>
    </row>
    <row r="1257" spans="1:10" x14ac:dyDescent="0.25">
      <c r="A1257"/>
      <c r="B1257"/>
      <c r="C1257"/>
      <c r="D1257"/>
      <c r="E1257"/>
      <c r="F1257"/>
      <c r="G1257"/>
      <c r="H1257"/>
      <c r="I1257"/>
      <c r="J1257"/>
    </row>
    <row r="1258" spans="1:10" x14ac:dyDescent="0.25">
      <c r="A1258"/>
      <c r="B1258"/>
      <c r="C1258"/>
      <c r="D1258"/>
      <c r="E1258"/>
      <c r="F1258"/>
      <c r="G1258"/>
      <c r="H1258"/>
      <c r="I1258"/>
      <c r="J1258"/>
    </row>
    <row r="1259" spans="1:10" x14ac:dyDescent="0.25">
      <c r="A1259"/>
      <c r="B1259"/>
      <c r="C1259"/>
      <c r="D1259"/>
      <c r="E1259"/>
      <c r="F1259"/>
      <c r="G1259"/>
      <c r="H1259"/>
      <c r="I1259"/>
      <c r="J1259"/>
    </row>
    <row r="1260" spans="1:10" x14ac:dyDescent="0.25">
      <c r="A1260"/>
      <c r="B1260"/>
      <c r="C1260"/>
      <c r="D1260"/>
      <c r="E1260"/>
      <c r="F1260"/>
      <c r="G1260"/>
      <c r="H1260"/>
      <c r="I1260"/>
      <c r="J1260"/>
    </row>
    <row r="1261" spans="1:10" x14ac:dyDescent="0.25">
      <c r="A1261"/>
      <c r="B1261"/>
      <c r="C1261"/>
      <c r="D1261"/>
      <c r="E1261"/>
      <c r="F1261"/>
      <c r="G1261"/>
      <c r="H1261"/>
      <c r="I1261"/>
      <c r="J1261"/>
    </row>
    <row r="1262" spans="1:10" x14ac:dyDescent="0.25">
      <c r="A1262"/>
      <c r="B1262"/>
      <c r="C1262"/>
      <c r="D1262"/>
      <c r="E1262"/>
      <c r="F1262"/>
      <c r="G1262"/>
      <c r="H1262"/>
      <c r="I1262"/>
      <c r="J1262"/>
    </row>
    <row r="1263" spans="1:10" x14ac:dyDescent="0.25">
      <c r="A1263"/>
      <c r="B1263"/>
      <c r="C1263"/>
      <c r="D1263"/>
      <c r="E1263"/>
      <c r="F1263"/>
      <c r="G1263"/>
      <c r="H1263"/>
      <c r="I1263"/>
      <c r="J1263"/>
    </row>
    <row r="1264" spans="1:10" x14ac:dyDescent="0.25">
      <c r="A1264"/>
      <c r="B1264"/>
      <c r="C1264"/>
      <c r="D1264"/>
      <c r="E1264"/>
      <c r="F1264"/>
      <c r="G1264"/>
      <c r="H1264"/>
      <c r="I1264"/>
      <c r="J1264"/>
    </row>
    <row r="1265" spans="1:10" x14ac:dyDescent="0.25">
      <c r="A1265"/>
      <c r="B1265"/>
      <c r="C1265"/>
      <c r="D1265"/>
      <c r="E1265"/>
      <c r="F1265"/>
      <c r="G1265"/>
      <c r="H1265"/>
      <c r="I1265"/>
      <c r="J1265"/>
    </row>
    <row r="1266" spans="1:10" x14ac:dyDescent="0.25">
      <c r="A1266"/>
      <c r="B1266"/>
      <c r="C1266"/>
      <c r="D1266"/>
      <c r="E1266"/>
      <c r="F1266"/>
      <c r="G1266"/>
      <c r="H1266"/>
      <c r="I1266"/>
      <c r="J1266"/>
    </row>
    <row r="1267" spans="1:10" x14ac:dyDescent="0.25">
      <c r="A1267"/>
      <c r="B1267"/>
      <c r="C1267"/>
      <c r="D1267"/>
      <c r="E1267"/>
      <c r="F1267"/>
      <c r="G1267"/>
      <c r="H1267"/>
      <c r="I1267"/>
      <c r="J1267"/>
    </row>
    <row r="1268" spans="1:10" x14ac:dyDescent="0.25">
      <c r="A1268"/>
      <c r="B1268"/>
      <c r="C1268"/>
      <c r="D1268"/>
      <c r="E1268"/>
      <c r="F1268"/>
      <c r="G1268"/>
      <c r="H1268"/>
      <c r="I1268"/>
      <c r="J1268"/>
    </row>
    <row r="1269" spans="1:10" x14ac:dyDescent="0.25">
      <c r="A1269"/>
      <c r="B1269"/>
      <c r="C1269"/>
      <c r="D1269"/>
      <c r="E1269"/>
      <c r="F1269"/>
      <c r="G1269"/>
      <c r="H1269"/>
      <c r="I1269"/>
      <c r="J1269"/>
    </row>
    <row r="1270" spans="1:10" x14ac:dyDescent="0.25">
      <c r="A1270"/>
      <c r="B1270"/>
      <c r="C1270"/>
      <c r="D1270"/>
      <c r="E1270"/>
      <c r="F1270"/>
      <c r="G1270"/>
      <c r="H1270"/>
      <c r="I1270"/>
      <c r="J1270"/>
    </row>
    <row r="1271" spans="1:10" x14ac:dyDescent="0.25">
      <c r="A1271"/>
      <c r="B1271"/>
      <c r="C1271"/>
      <c r="D1271"/>
      <c r="E1271"/>
      <c r="F1271"/>
      <c r="G1271"/>
      <c r="H1271"/>
      <c r="I1271"/>
      <c r="J1271"/>
    </row>
    <row r="1272" spans="1:10" x14ac:dyDescent="0.25">
      <c r="A1272"/>
      <c r="B1272"/>
      <c r="C1272"/>
      <c r="D1272"/>
      <c r="E1272"/>
      <c r="F1272"/>
      <c r="G1272"/>
      <c r="H1272"/>
      <c r="I1272"/>
      <c r="J1272"/>
    </row>
    <row r="1273" spans="1:10" x14ac:dyDescent="0.25">
      <c r="A1273"/>
      <c r="B1273"/>
      <c r="C1273"/>
      <c r="D1273"/>
      <c r="E1273"/>
      <c r="F1273"/>
      <c r="G1273"/>
      <c r="H1273"/>
      <c r="I1273"/>
      <c r="J1273"/>
    </row>
    <row r="1274" spans="1:10" x14ac:dyDescent="0.25">
      <c r="A1274"/>
      <c r="B1274"/>
      <c r="C1274"/>
      <c r="D1274"/>
      <c r="E1274"/>
      <c r="F1274"/>
      <c r="G1274"/>
      <c r="H1274"/>
      <c r="I1274"/>
      <c r="J1274"/>
    </row>
    <row r="1275" spans="1:10" x14ac:dyDescent="0.25">
      <c r="A1275"/>
      <c r="B1275"/>
      <c r="C1275"/>
      <c r="D1275"/>
      <c r="E1275"/>
      <c r="F1275"/>
      <c r="G1275"/>
      <c r="H1275"/>
      <c r="I1275"/>
      <c r="J1275"/>
    </row>
    <row r="1276" spans="1:10" x14ac:dyDescent="0.25">
      <c r="A1276"/>
      <c r="B1276"/>
      <c r="C1276"/>
      <c r="D1276"/>
      <c r="E1276"/>
      <c r="F1276"/>
      <c r="G1276"/>
      <c r="H1276"/>
      <c r="I1276"/>
      <c r="J1276"/>
    </row>
    <row r="1277" spans="1:10" x14ac:dyDescent="0.25">
      <c r="A1277"/>
      <c r="B1277"/>
      <c r="C1277"/>
      <c r="D1277"/>
      <c r="E1277"/>
      <c r="F1277"/>
      <c r="G1277"/>
      <c r="H1277"/>
      <c r="I1277"/>
      <c r="J1277"/>
    </row>
    <row r="1278" spans="1:10" x14ac:dyDescent="0.25">
      <c r="A1278"/>
      <c r="B1278"/>
      <c r="C1278"/>
      <c r="D1278"/>
      <c r="E1278"/>
      <c r="F1278"/>
      <c r="G1278"/>
      <c r="H1278"/>
      <c r="I1278"/>
      <c r="J1278"/>
    </row>
    <row r="1279" spans="1:10" x14ac:dyDescent="0.25">
      <c r="A1279"/>
      <c r="B1279"/>
      <c r="C1279"/>
      <c r="D1279"/>
      <c r="E1279"/>
      <c r="F1279"/>
      <c r="G1279"/>
      <c r="H1279"/>
      <c r="I1279"/>
      <c r="J1279"/>
    </row>
    <row r="1280" spans="1:10" x14ac:dyDescent="0.25">
      <c r="A1280"/>
      <c r="B1280"/>
      <c r="C1280"/>
      <c r="D1280"/>
      <c r="E1280"/>
      <c r="F1280"/>
      <c r="G1280"/>
      <c r="H1280"/>
      <c r="I1280"/>
      <c r="J1280"/>
    </row>
    <row r="1281" spans="1:10" x14ac:dyDescent="0.25">
      <c r="A1281"/>
      <c r="B1281"/>
      <c r="C1281"/>
      <c r="D1281"/>
      <c r="E1281"/>
      <c r="F1281"/>
      <c r="G1281"/>
      <c r="H1281"/>
      <c r="I1281"/>
      <c r="J1281"/>
    </row>
    <row r="1282" spans="1:10" x14ac:dyDescent="0.25">
      <c r="A1282"/>
      <c r="B1282"/>
      <c r="C1282"/>
      <c r="D1282"/>
      <c r="E1282"/>
      <c r="F1282"/>
      <c r="G1282"/>
      <c r="H1282"/>
      <c r="I1282"/>
      <c r="J1282"/>
    </row>
    <row r="1283" spans="1:10" x14ac:dyDescent="0.25">
      <c r="A1283"/>
      <c r="B1283"/>
      <c r="C1283"/>
      <c r="D1283"/>
      <c r="E1283"/>
      <c r="F1283"/>
      <c r="G1283"/>
      <c r="H1283"/>
      <c r="I1283"/>
      <c r="J1283"/>
    </row>
    <row r="1284" spans="1:10" x14ac:dyDescent="0.25">
      <c r="A1284"/>
      <c r="B1284"/>
      <c r="C1284"/>
      <c r="D1284"/>
      <c r="E1284"/>
      <c r="F1284"/>
      <c r="G1284"/>
      <c r="H1284"/>
      <c r="I1284"/>
      <c r="J1284"/>
    </row>
    <row r="1285" spans="1:10" x14ac:dyDescent="0.25">
      <c r="A1285"/>
      <c r="B1285"/>
      <c r="C1285"/>
      <c r="D1285"/>
      <c r="E1285"/>
      <c r="F1285"/>
      <c r="G1285"/>
      <c r="H1285"/>
      <c r="I1285"/>
      <c r="J1285"/>
    </row>
    <row r="1286" spans="1:10" x14ac:dyDescent="0.25">
      <c r="A1286"/>
      <c r="B1286"/>
      <c r="C1286"/>
      <c r="D1286"/>
      <c r="E1286"/>
      <c r="F1286"/>
      <c r="G1286"/>
      <c r="H1286"/>
      <c r="I1286"/>
      <c r="J1286"/>
    </row>
    <row r="1287" spans="1:10" x14ac:dyDescent="0.25">
      <c r="A1287"/>
      <c r="B1287"/>
      <c r="C1287"/>
      <c r="D1287"/>
      <c r="E1287"/>
      <c r="F1287"/>
      <c r="G1287"/>
      <c r="H1287"/>
      <c r="I1287"/>
      <c r="J1287"/>
    </row>
    <row r="1288" spans="1:10" x14ac:dyDescent="0.25">
      <c r="A1288"/>
      <c r="B1288"/>
      <c r="C1288"/>
      <c r="D1288"/>
      <c r="E1288"/>
      <c r="F1288"/>
      <c r="G1288"/>
      <c r="H1288"/>
      <c r="I1288"/>
      <c r="J1288"/>
    </row>
    <row r="1289" spans="1:10" x14ac:dyDescent="0.25">
      <c r="A1289"/>
      <c r="B1289"/>
      <c r="C1289"/>
      <c r="D1289"/>
      <c r="E1289"/>
      <c r="F1289"/>
      <c r="G1289"/>
      <c r="H1289"/>
      <c r="I1289"/>
      <c r="J1289"/>
    </row>
    <row r="1290" spans="1:10" x14ac:dyDescent="0.25">
      <c r="A1290"/>
      <c r="B1290"/>
      <c r="C1290"/>
      <c r="D1290"/>
      <c r="E1290"/>
      <c r="F1290"/>
      <c r="G1290"/>
      <c r="H1290"/>
      <c r="I1290"/>
      <c r="J1290"/>
    </row>
    <row r="1291" spans="1:10" x14ac:dyDescent="0.25">
      <c r="A1291"/>
      <c r="B1291"/>
      <c r="C1291"/>
      <c r="D1291"/>
      <c r="E1291"/>
      <c r="F1291"/>
      <c r="G1291"/>
      <c r="H1291"/>
      <c r="I1291"/>
      <c r="J1291"/>
    </row>
    <row r="1292" spans="1:10" x14ac:dyDescent="0.25">
      <c r="A1292"/>
      <c r="B1292"/>
      <c r="C1292"/>
      <c r="D1292"/>
      <c r="E1292"/>
      <c r="F1292"/>
      <c r="G1292"/>
      <c r="H1292"/>
      <c r="I1292"/>
      <c r="J1292"/>
    </row>
    <row r="1293" spans="1:10" x14ac:dyDescent="0.25">
      <c r="A1293"/>
      <c r="B1293"/>
      <c r="C1293"/>
      <c r="D1293"/>
      <c r="E1293"/>
      <c r="F1293"/>
      <c r="G1293"/>
      <c r="H1293"/>
      <c r="I1293"/>
      <c r="J1293"/>
    </row>
    <row r="1294" spans="1:10" x14ac:dyDescent="0.25">
      <c r="A1294"/>
      <c r="B1294"/>
      <c r="C1294"/>
      <c r="D1294"/>
      <c r="E1294"/>
      <c r="F1294"/>
      <c r="G1294"/>
      <c r="H1294"/>
      <c r="I1294"/>
      <c r="J1294"/>
    </row>
    <row r="1295" spans="1:10" x14ac:dyDescent="0.25">
      <c r="A1295"/>
      <c r="B1295"/>
      <c r="C1295"/>
      <c r="D1295"/>
      <c r="E1295"/>
      <c r="F1295"/>
      <c r="G1295"/>
      <c r="H1295"/>
      <c r="I1295"/>
      <c r="J1295"/>
    </row>
    <row r="1296" spans="1:10" x14ac:dyDescent="0.25">
      <c r="A1296"/>
      <c r="B1296"/>
      <c r="C1296"/>
      <c r="D1296"/>
      <c r="E1296"/>
      <c r="F1296"/>
      <c r="G1296"/>
      <c r="H1296"/>
      <c r="I1296"/>
      <c r="J1296"/>
    </row>
    <row r="1297" spans="1:10" x14ac:dyDescent="0.25">
      <c r="A1297"/>
      <c r="B1297"/>
      <c r="C1297"/>
      <c r="D1297"/>
      <c r="E1297"/>
      <c r="F1297"/>
      <c r="G1297"/>
      <c r="H1297"/>
      <c r="I1297"/>
      <c r="J1297"/>
    </row>
    <row r="1298" spans="1:10" x14ac:dyDescent="0.25">
      <c r="A1298"/>
      <c r="B1298"/>
      <c r="C1298"/>
      <c r="D1298"/>
      <c r="E1298"/>
      <c r="F1298"/>
      <c r="G1298"/>
      <c r="H1298"/>
      <c r="I1298"/>
      <c r="J1298"/>
    </row>
    <row r="1299" spans="1:10" x14ac:dyDescent="0.25">
      <c r="A1299"/>
      <c r="B1299"/>
      <c r="C1299"/>
      <c r="D1299"/>
      <c r="E1299"/>
      <c r="F1299"/>
      <c r="G1299"/>
      <c r="H1299"/>
      <c r="I1299"/>
      <c r="J1299"/>
    </row>
    <row r="1300" spans="1:10" x14ac:dyDescent="0.25">
      <c r="A1300"/>
      <c r="B1300"/>
      <c r="C1300"/>
      <c r="D1300"/>
      <c r="E1300"/>
      <c r="F1300"/>
      <c r="G1300"/>
      <c r="H1300"/>
      <c r="I1300"/>
      <c r="J1300"/>
    </row>
    <row r="1301" spans="1:10" x14ac:dyDescent="0.25">
      <c r="A1301"/>
      <c r="B1301"/>
      <c r="C1301"/>
      <c r="D1301"/>
      <c r="E1301"/>
      <c r="F1301"/>
      <c r="G1301"/>
      <c r="H1301"/>
      <c r="I1301"/>
      <c r="J1301"/>
    </row>
    <row r="1302" spans="1:10" x14ac:dyDescent="0.25">
      <c r="A1302"/>
      <c r="B1302"/>
      <c r="C1302"/>
      <c r="D1302"/>
      <c r="E1302"/>
      <c r="F1302"/>
      <c r="G1302"/>
      <c r="H1302"/>
      <c r="I1302"/>
      <c r="J1302"/>
    </row>
    <row r="1303" spans="1:10" x14ac:dyDescent="0.25">
      <c r="A1303"/>
      <c r="B1303"/>
      <c r="C1303"/>
      <c r="D1303"/>
      <c r="E1303"/>
      <c r="F1303"/>
      <c r="G1303"/>
      <c r="H1303"/>
      <c r="I1303"/>
      <c r="J1303"/>
    </row>
    <row r="1304" spans="1:10" x14ac:dyDescent="0.25">
      <c r="A1304"/>
      <c r="B1304"/>
      <c r="C1304"/>
      <c r="D1304"/>
      <c r="E1304"/>
      <c r="F1304"/>
      <c r="G1304"/>
      <c r="H1304"/>
      <c r="I1304"/>
      <c r="J1304"/>
    </row>
    <row r="1305" spans="1:10" x14ac:dyDescent="0.25">
      <c r="A1305"/>
      <c r="B1305"/>
      <c r="C1305"/>
      <c r="D1305"/>
      <c r="E1305"/>
      <c r="F1305"/>
      <c r="G1305"/>
      <c r="H1305"/>
      <c r="I1305"/>
      <c r="J1305"/>
    </row>
    <row r="1306" spans="1:10" x14ac:dyDescent="0.25">
      <c r="A1306"/>
      <c r="B1306"/>
      <c r="C1306"/>
      <c r="D1306"/>
      <c r="E1306"/>
      <c r="F1306"/>
      <c r="G1306"/>
      <c r="H1306"/>
      <c r="I1306"/>
      <c r="J1306"/>
    </row>
    <row r="1307" spans="1:10" x14ac:dyDescent="0.25">
      <c r="A1307"/>
      <c r="B1307"/>
      <c r="C1307"/>
      <c r="D1307"/>
      <c r="E1307"/>
      <c r="F1307"/>
      <c r="G1307"/>
      <c r="H1307"/>
      <c r="I1307"/>
      <c r="J1307"/>
    </row>
    <row r="1308" spans="1:10" x14ac:dyDescent="0.25">
      <c r="A1308"/>
      <c r="B1308"/>
      <c r="C1308"/>
      <c r="D1308"/>
      <c r="E1308"/>
      <c r="F1308"/>
      <c r="G1308"/>
      <c r="H1308"/>
      <c r="I1308"/>
      <c r="J1308"/>
    </row>
    <row r="1309" spans="1:10" x14ac:dyDescent="0.25">
      <c r="A1309"/>
      <c r="B1309"/>
      <c r="C1309"/>
      <c r="D1309"/>
      <c r="E1309"/>
      <c r="F1309"/>
      <c r="G1309"/>
      <c r="H1309"/>
      <c r="I1309"/>
      <c r="J1309"/>
    </row>
    <row r="1310" spans="1:10" x14ac:dyDescent="0.25">
      <c r="A1310"/>
      <c r="B1310"/>
      <c r="C1310"/>
      <c r="D1310"/>
      <c r="E1310"/>
      <c r="F1310"/>
      <c r="G1310"/>
      <c r="H1310"/>
      <c r="I1310"/>
      <c r="J1310"/>
    </row>
    <row r="1311" spans="1:10" x14ac:dyDescent="0.25">
      <c r="A1311"/>
      <c r="B1311"/>
      <c r="C1311"/>
      <c r="D1311"/>
      <c r="E1311"/>
      <c r="F1311"/>
      <c r="G1311"/>
      <c r="H1311"/>
      <c r="I1311"/>
      <c r="J1311"/>
    </row>
    <row r="1312" spans="1:10" x14ac:dyDescent="0.25">
      <c r="A1312"/>
      <c r="B1312"/>
      <c r="C1312"/>
      <c r="D1312"/>
      <c r="E1312"/>
      <c r="F1312"/>
      <c r="G1312"/>
      <c r="H1312"/>
      <c r="I1312"/>
      <c r="J1312"/>
    </row>
    <row r="1313" spans="1:10" x14ac:dyDescent="0.25">
      <c r="A1313"/>
      <c r="B1313"/>
      <c r="C1313"/>
      <c r="D1313"/>
      <c r="E1313"/>
      <c r="F1313"/>
      <c r="G1313"/>
      <c r="H1313"/>
      <c r="I1313"/>
      <c r="J1313"/>
    </row>
    <row r="1314" spans="1:10" x14ac:dyDescent="0.25">
      <c r="A1314"/>
      <c r="B1314"/>
      <c r="C1314"/>
      <c r="D1314"/>
      <c r="E1314"/>
      <c r="F1314"/>
      <c r="G1314"/>
      <c r="H1314"/>
      <c r="I1314"/>
      <c r="J1314"/>
    </row>
    <row r="1315" spans="1:10" x14ac:dyDescent="0.25">
      <c r="A1315"/>
      <c r="B1315"/>
      <c r="C1315"/>
      <c r="D1315"/>
      <c r="E1315"/>
      <c r="F1315"/>
      <c r="G1315"/>
      <c r="H1315"/>
      <c r="I1315"/>
      <c r="J1315"/>
    </row>
    <row r="1316" spans="1:10" x14ac:dyDescent="0.25">
      <c r="A1316"/>
      <c r="B1316"/>
      <c r="C1316"/>
      <c r="D1316"/>
      <c r="E1316"/>
      <c r="F1316"/>
      <c r="G1316"/>
      <c r="H1316"/>
      <c r="I1316"/>
      <c r="J1316"/>
    </row>
    <row r="1317" spans="1:10" x14ac:dyDescent="0.25">
      <c r="A1317"/>
      <c r="B1317"/>
      <c r="C1317"/>
      <c r="D1317"/>
      <c r="E1317"/>
      <c r="F1317"/>
      <c r="G1317"/>
      <c r="H1317"/>
      <c r="I1317"/>
      <c r="J1317"/>
    </row>
    <row r="1318" spans="1:10" x14ac:dyDescent="0.25">
      <c r="A1318"/>
      <c r="B1318"/>
      <c r="C1318"/>
      <c r="D1318"/>
      <c r="E1318"/>
      <c r="F1318"/>
      <c r="G1318"/>
      <c r="H1318"/>
      <c r="I1318"/>
      <c r="J1318"/>
    </row>
    <row r="1319" spans="1:10" x14ac:dyDescent="0.25">
      <c r="A1319"/>
      <c r="B1319"/>
      <c r="C1319"/>
      <c r="D1319"/>
      <c r="E1319"/>
      <c r="F1319"/>
      <c r="G1319"/>
      <c r="H1319"/>
      <c r="I1319"/>
      <c r="J1319"/>
    </row>
    <row r="1320" spans="1:10" x14ac:dyDescent="0.25">
      <c r="A1320"/>
      <c r="B1320"/>
      <c r="C1320"/>
      <c r="D1320"/>
      <c r="E1320"/>
      <c r="F1320"/>
      <c r="G1320"/>
      <c r="H1320"/>
      <c r="I1320"/>
      <c r="J1320"/>
    </row>
    <row r="1321" spans="1:10" x14ac:dyDescent="0.25">
      <c r="A1321"/>
      <c r="B1321"/>
      <c r="C1321"/>
      <c r="D1321"/>
      <c r="E1321"/>
      <c r="F1321"/>
      <c r="G1321"/>
      <c r="H1321"/>
      <c r="I1321"/>
      <c r="J1321"/>
    </row>
    <row r="1322" spans="1:10" x14ac:dyDescent="0.25">
      <c r="A1322"/>
      <c r="B1322"/>
      <c r="C1322"/>
      <c r="D1322"/>
      <c r="E1322"/>
      <c r="F1322"/>
      <c r="G1322"/>
      <c r="H1322"/>
      <c r="I1322"/>
      <c r="J1322"/>
    </row>
    <row r="1323" spans="1:10" x14ac:dyDescent="0.25">
      <c r="A1323"/>
      <c r="B1323"/>
      <c r="C1323"/>
      <c r="D1323"/>
      <c r="E1323"/>
      <c r="F1323"/>
      <c r="G1323"/>
      <c r="H1323"/>
      <c r="I1323"/>
      <c r="J1323"/>
    </row>
    <row r="1324" spans="1:10" x14ac:dyDescent="0.25">
      <c r="A1324"/>
      <c r="B1324"/>
      <c r="C1324"/>
      <c r="D1324"/>
      <c r="E1324"/>
      <c r="F1324"/>
      <c r="G1324"/>
      <c r="H1324"/>
      <c r="I1324"/>
      <c r="J1324"/>
    </row>
    <row r="1325" spans="1:10" x14ac:dyDescent="0.25">
      <c r="A1325"/>
      <c r="B1325"/>
      <c r="C1325"/>
      <c r="D1325"/>
      <c r="E1325"/>
      <c r="F1325"/>
      <c r="G1325"/>
      <c r="H1325"/>
      <c r="I1325"/>
      <c r="J1325"/>
    </row>
    <row r="1326" spans="1:10" x14ac:dyDescent="0.25">
      <c r="A1326"/>
      <c r="B1326"/>
      <c r="C1326"/>
      <c r="D1326"/>
      <c r="E1326"/>
      <c r="F1326"/>
      <c r="G1326"/>
      <c r="H1326"/>
      <c r="I1326"/>
      <c r="J1326"/>
    </row>
    <row r="1327" spans="1:10" x14ac:dyDescent="0.25">
      <c r="A1327"/>
      <c r="B1327"/>
      <c r="C1327"/>
      <c r="D1327"/>
      <c r="E1327"/>
      <c r="F1327"/>
      <c r="G1327"/>
      <c r="H1327"/>
      <c r="I1327"/>
      <c r="J1327"/>
    </row>
    <row r="1328" spans="1:10" x14ac:dyDescent="0.25">
      <c r="A1328"/>
      <c r="B1328"/>
      <c r="C1328"/>
      <c r="D1328"/>
      <c r="E1328"/>
      <c r="F1328"/>
      <c r="G1328"/>
      <c r="H1328"/>
      <c r="I1328"/>
      <c r="J1328"/>
    </row>
    <row r="1329" spans="1:10" x14ac:dyDescent="0.25">
      <c r="A1329"/>
      <c r="B1329"/>
      <c r="C1329"/>
      <c r="D1329"/>
      <c r="E1329"/>
      <c r="F1329"/>
      <c r="G1329"/>
      <c r="H1329"/>
      <c r="I1329"/>
      <c r="J1329"/>
    </row>
    <row r="1330" spans="1:10" x14ac:dyDescent="0.25">
      <c r="A1330"/>
      <c r="B1330"/>
      <c r="C1330"/>
      <c r="D1330"/>
      <c r="E1330"/>
      <c r="F1330"/>
      <c r="G1330"/>
      <c r="H1330"/>
      <c r="I1330"/>
      <c r="J1330"/>
    </row>
    <row r="1331" spans="1:10" x14ac:dyDescent="0.25">
      <c r="A1331"/>
      <c r="B1331"/>
      <c r="C1331"/>
      <c r="D1331"/>
      <c r="E1331"/>
      <c r="F1331"/>
      <c r="G1331"/>
      <c r="H1331"/>
      <c r="I1331"/>
      <c r="J1331"/>
    </row>
    <row r="1332" spans="1:10" x14ac:dyDescent="0.25">
      <c r="A1332"/>
      <c r="B1332"/>
      <c r="C1332"/>
      <c r="D1332"/>
      <c r="E1332"/>
      <c r="F1332"/>
      <c r="G1332"/>
      <c r="H1332"/>
      <c r="I1332"/>
      <c r="J1332"/>
    </row>
    <row r="1333" spans="1:10" x14ac:dyDescent="0.25">
      <c r="A1333"/>
      <c r="B1333"/>
      <c r="C1333"/>
      <c r="D1333"/>
      <c r="E1333"/>
      <c r="F1333"/>
      <c r="G1333"/>
      <c r="H1333"/>
      <c r="I1333"/>
      <c r="J1333"/>
    </row>
    <row r="1334" spans="1:10" x14ac:dyDescent="0.25">
      <c r="A1334"/>
      <c r="B1334"/>
      <c r="C1334"/>
      <c r="D1334"/>
      <c r="E1334"/>
      <c r="F1334"/>
      <c r="G1334"/>
      <c r="H1334"/>
      <c r="I1334"/>
      <c r="J1334"/>
    </row>
    <row r="1335" spans="1:10" x14ac:dyDescent="0.25">
      <c r="A1335"/>
      <c r="B1335"/>
      <c r="C1335"/>
      <c r="D1335"/>
      <c r="E1335"/>
      <c r="F1335"/>
      <c r="G1335"/>
      <c r="H1335"/>
      <c r="I1335"/>
      <c r="J1335"/>
    </row>
    <row r="1336" spans="1:10" x14ac:dyDescent="0.25">
      <c r="A1336"/>
      <c r="B1336"/>
      <c r="C1336"/>
      <c r="D1336"/>
      <c r="E1336"/>
      <c r="F1336"/>
      <c r="G1336"/>
      <c r="H1336"/>
      <c r="I1336"/>
      <c r="J1336"/>
    </row>
    <row r="1337" spans="1:10" x14ac:dyDescent="0.25">
      <c r="A1337"/>
      <c r="B1337"/>
      <c r="C1337"/>
      <c r="D1337"/>
      <c r="E1337"/>
      <c r="F1337"/>
      <c r="G1337"/>
      <c r="H1337"/>
      <c r="I1337"/>
      <c r="J1337"/>
    </row>
    <row r="1338" spans="1:10" x14ac:dyDescent="0.25">
      <c r="A1338"/>
      <c r="B1338"/>
      <c r="C1338"/>
      <c r="D1338"/>
      <c r="E1338"/>
      <c r="F1338"/>
      <c r="G1338"/>
      <c r="H1338"/>
      <c r="I1338"/>
      <c r="J1338"/>
    </row>
    <row r="1339" spans="1:10" x14ac:dyDescent="0.25">
      <c r="A1339"/>
      <c r="B1339"/>
      <c r="C1339"/>
      <c r="D1339"/>
      <c r="E1339"/>
      <c r="F1339"/>
      <c r="G1339"/>
      <c r="H1339"/>
      <c r="I1339"/>
      <c r="J1339"/>
    </row>
    <row r="1340" spans="1:10" x14ac:dyDescent="0.25">
      <c r="A1340"/>
      <c r="B1340"/>
      <c r="C1340"/>
      <c r="D1340"/>
      <c r="E1340"/>
      <c r="F1340"/>
      <c r="G1340"/>
      <c r="H1340"/>
      <c r="I1340"/>
      <c r="J1340"/>
    </row>
    <row r="1341" spans="1:10" x14ac:dyDescent="0.25">
      <c r="A1341"/>
      <c r="B1341"/>
      <c r="C1341"/>
      <c r="D1341"/>
      <c r="E1341"/>
      <c r="F1341"/>
      <c r="G1341"/>
      <c r="H1341"/>
      <c r="I1341"/>
      <c r="J1341"/>
    </row>
    <row r="1342" spans="1:10" x14ac:dyDescent="0.25">
      <c r="A1342"/>
      <c r="B1342"/>
      <c r="C1342"/>
      <c r="D1342"/>
      <c r="E1342"/>
      <c r="F1342"/>
      <c r="G1342"/>
      <c r="H1342"/>
      <c r="I1342"/>
      <c r="J1342"/>
    </row>
    <row r="1343" spans="1:10" x14ac:dyDescent="0.25">
      <c r="A1343"/>
      <c r="B1343"/>
      <c r="C1343"/>
      <c r="D1343"/>
      <c r="E1343"/>
      <c r="F1343"/>
      <c r="G1343"/>
      <c r="H1343"/>
      <c r="I1343"/>
      <c r="J1343"/>
    </row>
    <row r="1344" spans="1:10" x14ac:dyDescent="0.25">
      <c r="A1344"/>
      <c r="B1344"/>
      <c r="C1344"/>
      <c r="D1344"/>
      <c r="E1344"/>
      <c r="F1344"/>
      <c r="G1344"/>
      <c r="H1344"/>
      <c r="I1344"/>
      <c r="J1344"/>
    </row>
    <row r="1345" spans="1:10" x14ac:dyDescent="0.25">
      <c r="A1345"/>
      <c r="B1345"/>
      <c r="C1345"/>
      <c r="D1345"/>
      <c r="E1345"/>
      <c r="F1345"/>
      <c r="G1345"/>
      <c r="H1345"/>
      <c r="I1345"/>
      <c r="J1345"/>
    </row>
    <row r="1346" spans="1:10" x14ac:dyDescent="0.25">
      <c r="A1346"/>
      <c r="B1346"/>
      <c r="C1346"/>
      <c r="D1346"/>
      <c r="E1346"/>
      <c r="F1346"/>
      <c r="G1346"/>
      <c r="H1346"/>
      <c r="I1346"/>
      <c r="J1346"/>
    </row>
    <row r="1347" spans="1:10" x14ac:dyDescent="0.25">
      <c r="A1347"/>
      <c r="B1347"/>
      <c r="C1347"/>
      <c r="D1347"/>
      <c r="E1347"/>
      <c r="F1347"/>
      <c r="G1347"/>
      <c r="H1347"/>
      <c r="I1347"/>
      <c r="J1347"/>
    </row>
    <row r="1348" spans="1:10" x14ac:dyDescent="0.25">
      <c r="A1348"/>
      <c r="B1348"/>
      <c r="C1348"/>
      <c r="D1348"/>
      <c r="E1348"/>
      <c r="F1348"/>
      <c r="G1348"/>
      <c r="H1348"/>
      <c r="I1348"/>
      <c r="J1348"/>
    </row>
    <row r="1349" spans="1:10" x14ac:dyDescent="0.25">
      <c r="A1349"/>
      <c r="B1349"/>
      <c r="C1349"/>
      <c r="D1349"/>
      <c r="E1349"/>
      <c r="F1349"/>
      <c r="G1349"/>
      <c r="H1349"/>
      <c r="I1349"/>
      <c r="J1349"/>
    </row>
    <row r="1350" spans="1:10" x14ac:dyDescent="0.25">
      <c r="A1350"/>
      <c r="B1350"/>
      <c r="C1350"/>
      <c r="D1350"/>
      <c r="E1350"/>
      <c r="F1350"/>
      <c r="G1350"/>
      <c r="H1350"/>
      <c r="I1350"/>
      <c r="J1350"/>
    </row>
    <row r="1351" spans="1:10" x14ac:dyDescent="0.25">
      <c r="A1351"/>
      <c r="B1351"/>
      <c r="C1351"/>
      <c r="D1351"/>
      <c r="E1351"/>
      <c r="F1351"/>
      <c r="G1351"/>
      <c r="H1351"/>
      <c r="I1351"/>
      <c r="J1351"/>
    </row>
    <row r="1352" spans="1:10" x14ac:dyDescent="0.25">
      <c r="A1352"/>
      <c r="B1352"/>
      <c r="C1352"/>
      <c r="D1352"/>
      <c r="E1352"/>
      <c r="F1352"/>
      <c r="G1352"/>
      <c r="H1352"/>
      <c r="I1352"/>
      <c r="J1352"/>
    </row>
    <row r="1353" spans="1:10" x14ac:dyDescent="0.25">
      <c r="A1353"/>
      <c r="B1353"/>
      <c r="C1353"/>
      <c r="D1353"/>
      <c r="E1353"/>
      <c r="F1353"/>
      <c r="G1353"/>
      <c r="H1353"/>
      <c r="I1353"/>
      <c r="J1353"/>
    </row>
    <row r="1354" spans="1:10" x14ac:dyDescent="0.25">
      <c r="A1354"/>
      <c r="B1354"/>
      <c r="C1354"/>
      <c r="D1354"/>
      <c r="E1354"/>
      <c r="F1354"/>
      <c r="G1354"/>
      <c r="H1354"/>
      <c r="I1354"/>
      <c r="J1354"/>
    </row>
    <row r="1355" spans="1:10" x14ac:dyDescent="0.25">
      <c r="A1355"/>
      <c r="B1355"/>
      <c r="C1355"/>
      <c r="D1355"/>
      <c r="E1355"/>
      <c r="F1355"/>
      <c r="G1355"/>
      <c r="H1355"/>
      <c r="I1355"/>
      <c r="J1355"/>
    </row>
    <row r="1356" spans="1:10" x14ac:dyDescent="0.25">
      <c r="A1356"/>
      <c r="B1356"/>
      <c r="C1356"/>
      <c r="D1356"/>
      <c r="E1356"/>
      <c r="F1356"/>
      <c r="G1356"/>
      <c r="H1356"/>
      <c r="I1356"/>
      <c r="J1356"/>
    </row>
    <row r="1357" spans="1:10" x14ac:dyDescent="0.25">
      <c r="A1357"/>
      <c r="B1357"/>
      <c r="C1357"/>
      <c r="D1357"/>
      <c r="E1357"/>
      <c r="F1357"/>
      <c r="G1357"/>
      <c r="H1357"/>
      <c r="I1357"/>
      <c r="J1357"/>
    </row>
    <row r="1358" spans="1:10" x14ac:dyDescent="0.25">
      <c r="A1358"/>
      <c r="B1358"/>
      <c r="C1358"/>
      <c r="D1358"/>
      <c r="E1358"/>
      <c r="F1358"/>
      <c r="G1358"/>
      <c r="H1358"/>
      <c r="I1358"/>
      <c r="J1358"/>
    </row>
    <row r="1359" spans="1:10" x14ac:dyDescent="0.25">
      <c r="A1359"/>
      <c r="B1359"/>
      <c r="C1359"/>
      <c r="D1359"/>
      <c r="E1359"/>
      <c r="F1359"/>
      <c r="G1359"/>
      <c r="H1359"/>
      <c r="I1359"/>
      <c r="J1359"/>
    </row>
    <row r="1360" spans="1:10" x14ac:dyDescent="0.25">
      <c r="A1360"/>
      <c r="B1360"/>
      <c r="C1360"/>
      <c r="D1360"/>
      <c r="E1360"/>
      <c r="F1360"/>
      <c r="G1360"/>
      <c r="H1360"/>
      <c r="I1360"/>
      <c r="J1360"/>
    </row>
    <row r="1361" spans="1:10" x14ac:dyDescent="0.25">
      <c r="A1361"/>
      <c r="B1361"/>
      <c r="C1361"/>
      <c r="D1361"/>
      <c r="E1361"/>
      <c r="F1361"/>
      <c r="G1361"/>
      <c r="H1361"/>
      <c r="I1361"/>
      <c r="J1361"/>
    </row>
    <row r="1362" spans="1:10" x14ac:dyDescent="0.25">
      <c r="A1362"/>
      <c r="B1362"/>
      <c r="C1362"/>
      <c r="D1362"/>
      <c r="E1362"/>
      <c r="F1362"/>
      <c r="G1362"/>
      <c r="H1362"/>
      <c r="I1362"/>
      <c r="J1362"/>
    </row>
    <row r="1363" spans="1:10" x14ac:dyDescent="0.25">
      <c r="A1363"/>
      <c r="B1363"/>
      <c r="C1363"/>
      <c r="D1363"/>
      <c r="E1363"/>
      <c r="F1363"/>
      <c r="G1363"/>
      <c r="H1363"/>
      <c r="I1363"/>
      <c r="J1363"/>
    </row>
    <row r="1364" spans="1:10" x14ac:dyDescent="0.25">
      <c r="A1364"/>
      <c r="B1364"/>
      <c r="C1364"/>
      <c r="D1364"/>
      <c r="E1364"/>
      <c r="F1364"/>
      <c r="G1364"/>
      <c r="H1364"/>
      <c r="I1364"/>
      <c r="J1364"/>
    </row>
    <row r="1365" spans="1:10" x14ac:dyDescent="0.25">
      <c r="A1365"/>
      <c r="B1365"/>
      <c r="C1365"/>
      <c r="D1365"/>
      <c r="E1365"/>
      <c r="F1365"/>
      <c r="G1365"/>
      <c r="H1365"/>
      <c r="I1365"/>
      <c r="J1365"/>
    </row>
    <row r="1366" spans="1:10" x14ac:dyDescent="0.25">
      <c r="A1366"/>
      <c r="B1366"/>
      <c r="C1366"/>
      <c r="D1366"/>
      <c r="E1366"/>
      <c r="F1366"/>
      <c r="G1366"/>
      <c r="H1366"/>
      <c r="I1366"/>
      <c r="J1366"/>
    </row>
    <row r="1367" spans="1:10" x14ac:dyDescent="0.25">
      <c r="A1367"/>
      <c r="B1367"/>
      <c r="C1367"/>
      <c r="D1367"/>
      <c r="E1367"/>
      <c r="F1367"/>
      <c r="G1367"/>
      <c r="H1367"/>
      <c r="I1367"/>
      <c r="J1367"/>
    </row>
    <row r="1368" spans="1:10" x14ac:dyDescent="0.25">
      <c r="A1368"/>
      <c r="B1368"/>
      <c r="C1368"/>
      <c r="D1368"/>
      <c r="E1368"/>
      <c r="F1368"/>
      <c r="G1368"/>
      <c r="H1368"/>
      <c r="I1368"/>
      <c r="J1368"/>
    </row>
    <row r="1369" spans="1:10" x14ac:dyDescent="0.25">
      <c r="A1369"/>
      <c r="B1369"/>
      <c r="C1369"/>
      <c r="D1369"/>
      <c r="E1369"/>
      <c r="F1369"/>
      <c r="G1369"/>
      <c r="H1369"/>
      <c r="I1369"/>
      <c r="J1369"/>
    </row>
    <row r="1370" spans="1:10" x14ac:dyDescent="0.25">
      <c r="A1370"/>
      <c r="B1370"/>
      <c r="C1370"/>
      <c r="D1370"/>
      <c r="E1370"/>
      <c r="F1370"/>
      <c r="G1370"/>
      <c r="H1370"/>
      <c r="I1370"/>
      <c r="J1370"/>
    </row>
    <row r="1371" spans="1:10" x14ac:dyDescent="0.25">
      <c r="A1371"/>
      <c r="B1371"/>
      <c r="C1371"/>
      <c r="D1371"/>
      <c r="E1371"/>
      <c r="F1371"/>
      <c r="G1371"/>
      <c r="H1371"/>
      <c r="I1371"/>
      <c r="J1371"/>
    </row>
    <row r="1372" spans="1:10" x14ac:dyDescent="0.25">
      <c r="A1372"/>
      <c r="B1372"/>
      <c r="C1372"/>
      <c r="D1372"/>
      <c r="E1372"/>
      <c r="F1372"/>
      <c r="G1372"/>
      <c r="H1372"/>
      <c r="I1372"/>
      <c r="J1372"/>
    </row>
    <row r="1373" spans="1:10" x14ac:dyDescent="0.25">
      <c r="A1373"/>
      <c r="B1373"/>
      <c r="C1373"/>
      <c r="D1373"/>
      <c r="E1373"/>
      <c r="F1373"/>
      <c r="G1373"/>
      <c r="H1373"/>
      <c r="I1373"/>
      <c r="J1373"/>
    </row>
    <row r="1374" spans="1:10" x14ac:dyDescent="0.25">
      <c r="A1374"/>
      <c r="B1374"/>
      <c r="C1374"/>
      <c r="D1374"/>
      <c r="E1374"/>
      <c r="F1374"/>
      <c r="G1374"/>
      <c r="H1374"/>
      <c r="I1374"/>
      <c r="J1374"/>
    </row>
    <row r="1375" spans="1:10" x14ac:dyDescent="0.25">
      <c r="A1375"/>
      <c r="B1375"/>
      <c r="C1375"/>
      <c r="D1375"/>
      <c r="E1375"/>
      <c r="F1375"/>
      <c r="G1375"/>
      <c r="H1375"/>
      <c r="I1375"/>
      <c r="J1375"/>
    </row>
    <row r="1376" spans="1:10" x14ac:dyDescent="0.25">
      <c r="A1376"/>
      <c r="B1376"/>
      <c r="C1376"/>
      <c r="D1376"/>
      <c r="E1376"/>
      <c r="F1376"/>
      <c r="G1376"/>
      <c r="H1376"/>
      <c r="I1376"/>
      <c r="J1376"/>
    </row>
    <row r="1377" spans="1:10" x14ac:dyDescent="0.25">
      <c r="A1377"/>
      <c r="B1377"/>
      <c r="C1377"/>
      <c r="D1377"/>
      <c r="E1377"/>
      <c r="F1377"/>
      <c r="G1377"/>
      <c r="H1377"/>
      <c r="I1377"/>
      <c r="J1377"/>
    </row>
    <row r="1378" spans="1:10" x14ac:dyDescent="0.25">
      <c r="A1378"/>
      <c r="B1378"/>
      <c r="C1378"/>
      <c r="D1378"/>
      <c r="E1378"/>
      <c r="F1378"/>
      <c r="G1378"/>
      <c r="H1378"/>
      <c r="I1378"/>
      <c r="J1378"/>
    </row>
    <row r="1379" spans="1:10" x14ac:dyDescent="0.25">
      <c r="A1379"/>
      <c r="B1379"/>
      <c r="C1379"/>
      <c r="D1379"/>
      <c r="E1379"/>
      <c r="F1379"/>
      <c r="G1379"/>
      <c r="H1379"/>
      <c r="I1379"/>
      <c r="J1379"/>
    </row>
    <row r="1380" spans="1:10" x14ac:dyDescent="0.25">
      <c r="A1380"/>
      <c r="B1380"/>
      <c r="C1380"/>
      <c r="D1380"/>
      <c r="E1380"/>
      <c r="F1380"/>
      <c r="G1380"/>
      <c r="H1380"/>
      <c r="I1380"/>
      <c r="J1380"/>
    </row>
    <row r="1381" spans="1:10" x14ac:dyDescent="0.25">
      <c r="A1381"/>
      <c r="B1381"/>
      <c r="C1381"/>
      <c r="D1381"/>
      <c r="E1381"/>
      <c r="F1381"/>
      <c r="G1381"/>
      <c r="H1381"/>
      <c r="I1381"/>
      <c r="J1381"/>
    </row>
    <row r="1382" spans="1:10" x14ac:dyDescent="0.25">
      <c r="A1382"/>
      <c r="B1382"/>
      <c r="C1382"/>
      <c r="D1382"/>
      <c r="E1382"/>
      <c r="F1382"/>
      <c r="G1382"/>
      <c r="H1382"/>
      <c r="I1382"/>
      <c r="J1382"/>
    </row>
    <row r="1383" spans="1:10" x14ac:dyDescent="0.25">
      <c r="A1383"/>
      <c r="B1383"/>
      <c r="C1383"/>
      <c r="D1383"/>
      <c r="E1383"/>
      <c r="F1383"/>
      <c r="G1383"/>
      <c r="H1383"/>
      <c r="I1383"/>
      <c r="J1383"/>
    </row>
    <row r="1384" spans="1:10" x14ac:dyDescent="0.25">
      <c r="A1384"/>
      <c r="B1384"/>
      <c r="C1384"/>
      <c r="D1384"/>
      <c r="E1384"/>
      <c r="F1384"/>
      <c r="G1384"/>
      <c r="H1384"/>
      <c r="I1384"/>
      <c r="J1384"/>
    </row>
    <row r="1385" spans="1:10" x14ac:dyDescent="0.25">
      <c r="A1385"/>
      <c r="B1385"/>
      <c r="C1385"/>
      <c r="D1385"/>
      <c r="E1385"/>
      <c r="F1385"/>
      <c r="G1385"/>
      <c r="H1385"/>
      <c r="I1385"/>
      <c r="J1385"/>
    </row>
    <row r="1386" spans="1:10" x14ac:dyDescent="0.25">
      <c r="A1386"/>
      <c r="B1386"/>
      <c r="C1386"/>
      <c r="D1386"/>
      <c r="E1386"/>
      <c r="F1386"/>
      <c r="G1386"/>
      <c r="H1386"/>
      <c r="I1386"/>
      <c r="J1386"/>
    </row>
    <row r="1387" spans="1:10" x14ac:dyDescent="0.25">
      <c r="A1387"/>
      <c r="B1387"/>
      <c r="C1387"/>
      <c r="D1387"/>
      <c r="E1387"/>
      <c r="F1387"/>
      <c r="G1387"/>
      <c r="H1387"/>
      <c r="I1387"/>
      <c r="J1387"/>
    </row>
    <row r="1388" spans="1:10" x14ac:dyDescent="0.25">
      <c r="A1388"/>
      <c r="B1388"/>
      <c r="C1388"/>
      <c r="D1388"/>
      <c r="E1388"/>
      <c r="F1388"/>
      <c r="G1388"/>
      <c r="H1388"/>
      <c r="I1388"/>
      <c r="J1388"/>
    </row>
    <row r="1389" spans="1:10" x14ac:dyDescent="0.25">
      <c r="A1389"/>
      <c r="B1389"/>
      <c r="C1389"/>
      <c r="D1389"/>
      <c r="E1389"/>
      <c r="F1389"/>
      <c r="G1389"/>
      <c r="H1389"/>
      <c r="I1389"/>
      <c r="J1389"/>
    </row>
    <row r="1390" spans="1:10" x14ac:dyDescent="0.25">
      <c r="A1390"/>
      <c r="B1390"/>
      <c r="C1390"/>
      <c r="D1390"/>
      <c r="E1390"/>
      <c r="F1390"/>
      <c r="G1390"/>
      <c r="H1390"/>
      <c r="I1390"/>
      <c r="J1390"/>
    </row>
    <row r="1391" spans="1:10" x14ac:dyDescent="0.25">
      <c r="A1391"/>
      <c r="B1391"/>
      <c r="C1391"/>
      <c r="D1391"/>
      <c r="E1391"/>
      <c r="F1391"/>
      <c r="G1391"/>
      <c r="H1391"/>
      <c r="I1391"/>
      <c r="J1391"/>
    </row>
    <row r="1392" spans="1:10" x14ac:dyDescent="0.25">
      <c r="A1392"/>
      <c r="B1392"/>
      <c r="C1392"/>
      <c r="D1392"/>
      <c r="E1392"/>
      <c r="F1392"/>
      <c r="G1392"/>
      <c r="H1392"/>
      <c r="I1392"/>
      <c r="J1392"/>
    </row>
    <row r="1393" spans="1:10" x14ac:dyDescent="0.25">
      <c r="A1393"/>
      <c r="B1393"/>
      <c r="C1393"/>
      <c r="D1393"/>
      <c r="E1393"/>
      <c r="F1393"/>
      <c r="G1393"/>
      <c r="H1393"/>
      <c r="I1393"/>
      <c r="J1393"/>
    </row>
    <row r="1394" spans="1:10" x14ac:dyDescent="0.25">
      <c r="A1394"/>
      <c r="B1394"/>
      <c r="C1394"/>
      <c r="D1394"/>
      <c r="E1394"/>
      <c r="F1394"/>
      <c r="G1394"/>
      <c r="H1394"/>
      <c r="I1394"/>
      <c r="J1394"/>
    </row>
    <row r="1395" spans="1:10" x14ac:dyDescent="0.25">
      <c r="A1395"/>
      <c r="B1395"/>
      <c r="C1395"/>
      <c r="D1395"/>
      <c r="E1395"/>
      <c r="F1395"/>
      <c r="G1395"/>
      <c r="H1395"/>
      <c r="I1395"/>
      <c r="J1395"/>
    </row>
    <row r="1396" spans="1:10" x14ac:dyDescent="0.25">
      <c r="A1396"/>
      <c r="B1396"/>
      <c r="C1396"/>
      <c r="D1396"/>
      <c r="E1396"/>
      <c r="F1396"/>
      <c r="G1396"/>
      <c r="H1396"/>
      <c r="I1396"/>
      <c r="J1396"/>
    </row>
    <row r="1397" spans="1:10" x14ac:dyDescent="0.25">
      <c r="A1397"/>
      <c r="B1397"/>
      <c r="C1397"/>
      <c r="D1397"/>
      <c r="E1397"/>
      <c r="F1397"/>
      <c r="G1397"/>
      <c r="H1397"/>
      <c r="I1397"/>
      <c r="J1397"/>
    </row>
    <row r="1398" spans="1:10" x14ac:dyDescent="0.25">
      <c r="A1398"/>
      <c r="B1398"/>
      <c r="C1398"/>
      <c r="D1398"/>
      <c r="E1398"/>
      <c r="F1398"/>
      <c r="G1398"/>
      <c r="H1398"/>
      <c r="I1398"/>
      <c r="J1398"/>
    </row>
    <row r="1399" spans="1:10" x14ac:dyDescent="0.25">
      <c r="A1399"/>
      <c r="B1399"/>
      <c r="C1399"/>
      <c r="D1399"/>
      <c r="E1399"/>
      <c r="F1399"/>
      <c r="G1399"/>
      <c r="H1399"/>
      <c r="I1399"/>
      <c r="J1399"/>
    </row>
    <row r="1400" spans="1:10" x14ac:dyDescent="0.25">
      <c r="A1400"/>
      <c r="B1400"/>
      <c r="C1400"/>
      <c r="D1400"/>
      <c r="E1400"/>
      <c r="F1400"/>
      <c r="G1400"/>
      <c r="H1400"/>
      <c r="I1400"/>
      <c r="J1400"/>
    </row>
    <row r="1401" spans="1:10" x14ac:dyDescent="0.25">
      <c r="A1401"/>
      <c r="B1401"/>
      <c r="C1401"/>
      <c r="D1401"/>
      <c r="E1401"/>
      <c r="F1401"/>
      <c r="G1401"/>
      <c r="H1401"/>
      <c r="I1401"/>
      <c r="J1401"/>
    </row>
    <row r="1402" spans="1:10" x14ac:dyDescent="0.25">
      <c r="A1402"/>
      <c r="B1402"/>
      <c r="C1402"/>
      <c r="D1402"/>
      <c r="E1402"/>
      <c r="F1402"/>
      <c r="G1402"/>
      <c r="H1402"/>
      <c r="I1402"/>
      <c r="J1402"/>
    </row>
    <row r="1403" spans="1:10" x14ac:dyDescent="0.25">
      <c r="A1403"/>
      <c r="B1403"/>
      <c r="C1403"/>
      <c r="D1403"/>
      <c r="E1403"/>
      <c r="F1403"/>
      <c r="G1403"/>
      <c r="H1403"/>
      <c r="I1403"/>
      <c r="J1403"/>
    </row>
    <row r="1404" spans="1:10" x14ac:dyDescent="0.25">
      <c r="A1404"/>
      <c r="B1404"/>
      <c r="C1404"/>
      <c r="D1404"/>
      <c r="E1404"/>
      <c r="F1404"/>
      <c r="G1404"/>
      <c r="H1404"/>
      <c r="I1404"/>
      <c r="J1404"/>
    </row>
    <row r="1405" spans="1:10" x14ac:dyDescent="0.25">
      <c r="A1405"/>
      <c r="B1405"/>
      <c r="C1405"/>
      <c r="D1405"/>
      <c r="E1405"/>
      <c r="F1405"/>
      <c r="G1405"/>
      <c r="H1405"/>
      <c r="I1405"/>
      <c r="J1405"/>
    </row>
    <row r="1406" spans="1:10" x14ac:dyDescent="0.25">
      <c r="A1406"/>
      <c r="B1406"/>
      <c r="C1406"/>
      <c r="D1406"/>
      <c r="E1406"/>
      <c r="F1406"/>
      <c r="G1406"/>
      <c r="H1406"/>
      <c r="I1406"/>
      <c r="J1406"/>
    </row>
    <row r="1407" spans="1:10" x14ac:dyDescent="0.25">
      <c r="A1407"/>
      <c r="B1407"/>
      <c r="C1407"/>
      <c r="D1407"/>
      <c r="E1407"/>
      <c r="F1407"/>
      <c r="G1407"/>
      <c r="H1407"/>
      <c r="I1407"/>
      <c r="J1407"/>
    </row>
    <row r="1408" spans="1:10" x14ac:dyDescent="0.25">
      <c r="A1408"/>
      <c r="B1408"/>
      <c r="C1408"/>
      <c r="D1408"/>
      <c r="E1408"/>
      <c r="F1408"/>
      <c r="G1408"/>
      <c r="H1408"/>
      <c r="I1408"/>
      <c r="J1408"/>
    </row>
    <row r="1409" spans="1:10" x14ac:dyDescent="0.25">
      <c r="A1409"/>
      <c r="B1409"/>
      <c r="C1409"/>
      <c r="D1409"/>
      <c r="E1409"/>
      <c r="F1409"/>
      <c r="G1409"/>
      <c r="H1409"/>
      <c r="I1409"/>
      <c r="J1409"/>
    </row>
    <row r="1410" spans="1:10" x14ac:dyDescent="0.25">
      <c r="A1410"/>
      <c r="B1410"/>
      <c r="C1410"/>
      <c r="D1410"/>
      <c r="E1410"/>
      <c r="F1410"/>
      <c r="G1410"/>
      <c r="H1410"/>
      <c r="I1410"/>
      <c r="J1410"/>
    </row>
    <row r="1411" spans="1:10" x14ac:dyDescent="0.25">
      <c r="A1411"/>
      <c r="B1411"/>
      <c r="C1411"/>
      <c r="D1411"/>
      <c r="E1411"/>
      <c r="F1411"/>
      <c r="G1411"/>
      <c r="H1411"/>
      <c r="I1411"/>
      <c r="J1411"/>
    </row>
    <row r="1412" spans="1:10" x14ac:dyDescent="0.25">
      <c r="A1412"/>
      <c r="B1412"/>
      <c r="C1412"/>
      <c r="D1412"/>
      <c r="E1412"/>
      <c r="F1412"/>
      <c r="G1412"/>
      <c r="H1412"/>
      <c r="I1412"/>
      <c r="J1412"/>
    </row>
    <row r="1413" spans="1:10" x14ac:dyDescent="0.25">
      <c r="A1413"/>
      <c r="B1413"/>
      <c r="C1413"/>
      <c r="D1413"/>
      <c r="E1413"/>
      <c r="F1413"/>
      <c r="G1413"/>
      <c r="H1413"/>
      <c r="I1413"/>
      <c r="J1413"/>
    </row>
    <row r="1414" spans="1:10" x14ac:dyDescent="0.25">
      <c r="A1414"/>
      <c r="B1414"/>
      <c r="C1414"/>
      <c r="D1414"/>
      <c r="E1414"/>
      <c r="F1414"/>
      <c r="G1414"/>
      <c r="H1414"/>
      <c r="I1414"/>
      <c r="J1414"/>
    </row>
    <row r="1415" spans="1:10" x14ac:dyDescent="0.25">
      <c r="A1415"/>
      <c r="B1415"/>
      <c r="C1415"/>
      <c r="D1415"/>
      <c r="E1415"/>
      <c r="F1415"/>
      <c r="G1415"/>
      <c r="H1415"/>
      <c r="I1415"/>
      <c r="J1415"/>
    </row>
    <row r="1416" spans="1:10" x14ac:dyDescent="0.25">
      <c r="A1416"/>
      <c r="B1416"/>
      <c r="C1416"/>
      <c r="D1416"/>
      <c r="E1416"/>
      <c r="F1416"/>
      <c r="G1416"/>
      <c r="H1416"/>
      <c r="I1416"/>
      <c r="J1416"/>
    </row>
    <row r="1417" spans="1:10" x14ac:dyDescent="0.25">
      <c r="A1417"/>
      <c r="B1417"/>
      <c r="C1417"/>
      <c r="D1417"/>
      <c r="E1417"/>
      <c r="F1417"/>
      <c r="G1417"/>
      <c r="H1417"/>
      <c r="I1417"/>
      <c r="J1417"/>
    </row>
    <row r="1418" spans="1:10" x14ac:dyDescent="0.25">
      <c r="A1418"/>
      <c r="B1418"/>
      <c r="C1418"/>
      <c r="D1418"/>
      <c r="E1418"/>
      <c r="F1418"/>
      <c r="G1418"/>
      <c r="H1418"/>
      <c r="I1418"/>
      <c r="J1418"/>
    </row>
    <row r="1419" spans="1:10" x14ac:dyDescent="0.25">
      <c r="A1419"/>
      <c r="B1419"/>
      <c r="C1419"/>
      <c r="D1419"/>
      <c r="E1419"/>
      <c r="F1419"/>
      <c r="G1419"/>
      <c r="H1419"/>
      <c r="I1419"/>
      <c r="J1419"/>
    </row>
    <row r="1420" spans="1:10" x14ac:dyDescent="0.25">
      <c r="A1420"/>
      <c r="B1420"/>
      <c r="C1420"/>
      <c r="D1420"/>
      <c r="E1420"/>
      <c r="F1420"/>
      <c r="G1420"/>
      <c r="H1420"/>
      <c r="I1420"/>
      <c r="J1420"/>
    </row>
    <row r="1421" spans="1:10" x14ac:dyDescent="0.25">
      <c r="A1421"/>
      <c r="B1421"/>
      <c r="C1421"/>
      <c r="D1421"/>
      <c r="E1421"/>
      <c r="F1421"/>
      <c r="G1421"/>
      <c r="H1421"/>
      <c r="I1421"/>
      <c r="J1421"/>
    </row>
    <row r="1422" spans="1:10" x14ac:dyDescent="0.25">
      <c r="A1422"/>
      <c r="B1422"/>
      <c r="C1422"/>
      <c r="D1422"/>
      <c r="E1422"/>
      <c r="F1422"/>
      <c r="G1422"/>
      <c r="H1422"/>
      <c r="I1422"/>
      <c r="J1422"/>
    </row>
    <row r="1423" spans="1:10" x14ac:dyDescent="0.25">
      <c r="A1423"/>
      <c r="B1423"/>
      <c r="C1423"/>
      <c r="D1423"/>
      <c r="E1423"/>
      <c r="F1423"/>
      <c r="G1423"/>
      <c r="H1423"/>
      <c r="I1423"/>
      <c r="J1423"/>
    </row>
    <row r="1424" spans="1:10" x14ac:dyDescent="0.25">
      <c r="A1424"/>
      <c r="B1424"/>
      <c r="C1424"/>
      <c r="D1424"/>
      <c r="E1424"/>
      <c r="F1424"/>
      <c r="G1424"/>
      <c r="H1424"/>
      <c r="I1424"/>
      <c r="J1424"/>
    </row>
    <row r="1425" spans="1:10" x14ac:dyDescent="0.25">
      <c r="A1425"/>
      <c r="B1425"/>
      <c r="C1425"/>
      <c r="D1425"/>
      <c r="E1425"/>
      <c r="F1425"/>
      <c r="G1425"/>
      <c r="H1425"/>
      <c r="I1425"/>
      <c r="J1425"/>
    </row>
    <row r="1426" spans="1:10" x14ac:dyDescent="0.25">
      <c r="A1426"/>
      <c r="B1426"/>
      <c r="C1426"/>
      <c r="D1426"/>
      <c r="E1426"/>
      <c r="F1426"/>
      <c r="G1426"/>
      <c r="H1426"/>
      <c r="I1426"/>
      <c r="J1426"/>
    </row>
    <row r="1427" spans="1:10" x14ac:dyDescent="0.25">
      <c r="A1427"/>
      <c r="B1427"/>
      <c r="C1427"/>
      <c r="D1427"/>
      <c r="E1427"/>
      <c r="F1427"/>
      <c r="G1427"/>
      <c r="H1427"/>
      <c r="I1427"/>
      <c r="J1427"/>
    </row>
    <row r="1428" spans="1:10" x14ac:dyDescent="0.25">
      <c r="A1428"/>
      <c r="B1428"/>
      <c r="C1428"/>
      <c r="D1428"/>
      <c r="E1428"/>
      <c r="F1428"/>
      <c r="G1428"/>
      <c r="H1428"/>
      <c r="I1428"/>
      <c r="J1428"/>
    </row>
    <row r="1429" spans="1:10" x14ac:dyDescent="0.25">
      <c r="A1429"/>
      <c r="B1429"/>
      <c r="C1429"/>
      <c r="D1429"/>
      <c r="E1429"/>
      <c r="F1429"/>
      <c r="G1429"/>
      <c r="H1429"/>
      <c r="I1429"/>
      <c r="J1429"/>
    </row>
    <row r="1430" spans="1:10" x14ac:dyDescent="0.25">
      <c r="A1430"/>
      <c r="B1430"/>
      <c r="C1430"/>
      <c r="D1430"/>
      <c r="E1430"/>
      <c r="F1430"/>
      <c r="G1430"/>
      <c r="H1430"/>
      <c r="I1430"/>
      <c r="J1430"/>
    </row>
    <row r="1431" spans="1:10" x14ac:dyDescent="0.25">
      <c r="A1431"/>
      <c r="B1431"/>
      <c r="C1431"/>
      <c r="D1431"/>
      <c r="E1431"/>
      <c r="F1431"/>
      <c r="G1431"/>
      <c r="H1431"/>
      <c r="I1431"/>
      <c r="J1431"/>
    </row>
    <row r="1432" spans="1:10" x14ac:dyDescent="0.25">
      <c r="A1432"/>
      <c r="B1432"/>
      <c r="C1432"/>
      <c r="D1432"/>
      <c r="E1432"/>
      <c r="F1432"/>
      <c r="G1432"/>
      <c r="H1432"/>
      <c r="I1432"/>
      <c r="J1432"/>
    </row>
    <row r="1433" spans="1:10" x14ac:dyDescent="0.25">
      <c r="A1433"/>
      <c r="B1433"/>
      <c r="C1433"/>
      <c r="D1433"/>
      <c r="E1433"/>
      <c r="F1433"/>
      <c r="G1433"/>
      <c r="H1433"/>
      <c r="I1433"/>
      <c r="J1433"/>
    </row>
    <row r="1434" spans="1:10" x14ac:dyDescent="0.25">
      <c r="A1434"/>
      <c r="B1434"/>
      <c r="C1434"/>
      <c r="D1434"/>
      <c r="E1434"/>
      <c r="F1434"/>
      <c r="G1434"/>
      <c r="H1434"/>
      <c r="I1434"/>
      <c r="J1434"/>
    </row>
    <row r="1435" spans="1:10" x14ac:dyDescent="0.25">
      <c r="A1435"/>
      <c r="B1435"/>
      <c r="C1435"/>
      <c r="D1435"/>
      <c r="E1435"/>
      <c r="F1435"/>
      <c r="G1435"/>
      <c r="H1435"/>
      <c r="I1435"/>
      <c r="J1435"/>
    </row>
    <row r="1436" spans="1:10" x14ac:dyDescent="0.25">
      <c r="A1436"/>
      <c r="B1436"/>
      <c r="C1436"/>
      <c r="D1436"/>
      <c r="E1436"/>
      <c r="F1436"/>
      <c r="G1436"/>
      <c r="H1436"/>
      <c r="I1436"/>
      <c r="J1436"/>
    </row>
    <row r="1437" spans="1:10" x14ac:dyDescent="0.25">
      <c r="A1437"/>
      <c r="B1437"/>
      <c r="C1437"/>
      <c r="D1437"/>
      <c r="E1437"/>
      <c r="F1437"/>
      <c r="G1437"/>
      <c r="H1437"/>
      <c r="I1437"/>
      <c r="J1437"/>
    </row>
    <row r="1438" spans="1:10" x14ac:dyDescent="0.25">
      <c r="A1438"/>
      <c r="B1438"/>
      <c r="C1438"/>
      <c r="D1438"/>
      <c r="E1438"/>
      <c r="F1438"/>
      <c r="G1438"/>
      <c r="H1438"/>
      <c r="I1438"/>
      <c r="J1438"/>
    </row>
    <row r="1439" spans="1:10" x14ac:dyDescent="0.25">
      <c r="A1439"/>
      <c r="B1439"/>
      <c r="C1439"/>
      <c r="D1439"/>
      <c r="E1439"/>
      <c r="F1439"/>
      <c r="G1439"/>
      <c r="H1439"/>
      <c r="I1439"/>
      <c r="J1439"/>
    </row>
    <row r="1440" spans="1:10" x14ac:dyDescent="0.25">
      <c r="A1440"/>
      <c r="B1440"/>
      <c r="C1440"/>
      <c r="D1440"/>
      <c r="E1440"/>
      <c r="F1440"/>
      <c r="G1440"/>
      <c r="H1440"/>
      <c r="I1440"/>
      <c r="J1440"/>
    </row>
    <row r="1441" spans="1:10" x14ac:dyDescent="0.25">
      <c r="A1441"/>
      <c r="B1441"/>
      <c r="C1441"/>
      <c r="D1441"/>
      <c r="E1441"/>
      <c r="F1441"/>
      <c r="G1441"/>
      <c r="H1441"/>
      <c r="I1441"/>
      <c r="J1441"/>
    </row>
    <row r="1442" spans="1:10" x14ac:dyDescent="0.25">
      <c r="A1442"/>
      <c r="B1442"/>
      <c r="C1442"/>
      <c r="D1442"/>
      <c r="E1442"/>
      <c r="F1442"/>
      <c r="G1442"/>
      <c r="H1442"/>
      <c r="I1442"/>
      <c r="J1442"/>
    </row>
    <row r="1443" spans="1:10" x14ac:dyDescent="0.25">
      <c r="A1443"/>
      <c r="B1443"/>
      <c r="C1443"/>
      <c r="D1443"/>
      <c r="E1443"/>
      <c r="F1443"/>
      <c r="G1443"/>
      <c r="H1443"/>
      <c r="I1443"/>
      <c r="J1443"/>
    </row>
    <row r="1444" spans="1:10" x14ac:dyDescent="0.25">
      <c r="A1444"/>
      <c r="B1444"/>
      <c r="C1444"/>
      <c r="D1444"/>
      <c r="E1444"/>
      <c r="F1444"/>
      <c r="G1444"/>
      <c r="H1444"/>
      <c r="I1444"/>
      <c r="J1444"/>
    </row>
    <row r="1445" spans="1:10" x14ac:dyDescent="0.25">
      <c r="A1445"/>
      <c r="B1445"/>
      <c r="C1445"/>
      <c r="D1445"/>
      <c r="E1445"/>
      <c r="F1445"/>
      <c r="G1445"/>
      <c r="H1445"/>
      <c r="I1445"/>
      <c r="J1445"/>
    </row>
    <row r="1446" spans="1:10" x14ac:dyDescent="0.25">
      <c r="A1446"/>
      <c r="B1446"/>
      <c r="C1446"/>
      <c r="D1446"/>
      <c r="E1446"/>
      <c r="F1446"/>
      <c r="G1446"/>
      <c r="H1446"/>
      <c r="I1446"/>
      <c r="J1446"/>
    </row>
    <row r="1447" spans="1:10" x14ac:dyDescent="0.25">
      <c r="A1447"/>
      <c r="B1447"/>
      <c r="C1447"/>
      <c r="D1447"/>
      <c r="E1447"/>
      <c r="F1447"/>
      <c r="G1447"/>
      <c r="H1447"/>
      <c r="I1447"/>
      <c r="J1447"/>
    </row>
    <row r="1448" spans="1:10" x14ac:dyDescent="0.25">
      <c r="A1448"/>
      <c r="B1448"/>
      <c r="C1448"/>
      <c r="D1448"/>
      <c r="E1448"/>
      <c r="F1448"/>
      <c r="G1448"/>
      <c r="H1448"/>
      <c r="I1448"/>
      <c r="J1448"/>
    </row>
    <row r="1449" spans="1:10" x14ac:dyDescent="0.25">
      <c r="A1449"/>
      <c r="B1449"/>
      <c r="C1449"/>
      <c r="D1449"/>
      <c r="E1449"/>
      <c r="F1449"/>
      <c r="G1449"/>
      <c r="H1449"/>
      <c r="I1449"/>
      <c r="J1449"/>
    </row>
    <row r="1450" spans="1:10" x14ac:dyDescent="0.25">
      <c r="A1450"/>
      <c r="B1450"/>
      <c r="C1450"/>
      <c r="D1450"/>
      <c r="E1450"/>
      <c r="F1450"/>
      <c r="G1450"/>
      <c r="H1450"/>
      <c r="I1450"/>
      <c r="J1450"/>
    </row>
    <row r="1451" spans="1:10" x14ac:dyDescent="0.25">
      <c r="A1451"/>
      <c r="B1451"/>
      <c r="C1451"/>
      <c r="D1451"/>
      <c r="E1451"/>
      <c r="F1451"/>
      <c r="G1451"/>
      <c r="H1451"/>
      <c r="I1451"/>
      <c r="J1451"/>
    </row>
    <row r="1452" spans="1:10" x14ac:dyDescent="0.25">
      <c r="A1452"/>
      <c r="B1452"/>
      <c r="C1452"/>
      <c r="D1452"/>
      <c r="E1452"/>
      <c r="F1452"/>
      <c r="G1452"/>
      <c r="H1452"/>
      <c r="I1452"/>
      <c r="J1452"/>
    </row>
    <row r="1453" spans="1:10" x14ac:dyDescent="0.25">
      <c r="A1453"/>
      <c r="B1453"/>
      <c r="C1453"/>
      <c r="D1453"/>
      <c r="E1453"/>
      <c r="F1453"/>
      <c r="G1453"/>
      <c r="H1453"/>
      <c r="I1453"/>
      <c r="J1453"/>
    </row>
    <row r="1454" spans="1:10" x14ac:dyDescent="0.25">
      <c r="A1454"/>
      <c r="B1454"/>
      <c r="C1454"/>
      <c r="D1454"/>
      <c r="E1454"/>
      <c r="F1454"/>
      <c r="G1454"/>
      <c r="H1454"/>
      <c r="I1454"/>
      <c r="J1454"/>
    </row>
    <row r="1455" spans="1:10" x14ac:dyDescent="0.25">
      <c r="A1455"/>
      <c r="B1455"/>
      <c r="C1455"/>
      <c r="D1455"/>
      <c r="E1455"/>
      <c r="F1455"/>
      <c r="G1455"/>
      <c r="H1455"/>
      <c r="I1455"/>
      <c r="J1455"/>
    </row>
    <row r="1456" spans="1:10" x14ac:dyDescent="0.25">
      <c r="A1456"/>
      <c r="B1456"/>
      <c r="C1456"/>
      <c r="D1456"/>
      <c r="E1456"/>
      <c r="F1456"/>
      <c r="G1456"/>
      <c r="H1456"/>
      <c r="I1456"/>
      <c r="J1456"/>
    </row>
    <row r="1457" spans="1:10" x14ac:dyDescent="0.25">
      <c r="A1457"/>
      <c r="B1457"/>
      <c r="C1457"/>
      <c r="D1457"/>
      <c r="E1457"/>
      <c r="F1457"/>
      <c r="G1457"/>
      <c r="H1457"/>
      <c r="I1457"/>
      <c r="J1457"/>
    </row>
    <row r="1458" spans="1:10" x14ac:dyDescent="0.25">
      <c r="A1458"/>
      <c r="B1458"/>
      <c r="C1458"/>
      <c r="D1458"/>
      <c r="E1458"/>
      <c r="F1458"/>
      <c r="G1458"/>
      <c r="H1458"/>
      <c r="I1458"/>
      <c r="J1458"/>
    </row>
    <row r="1459" spans="1:10" x14ac:dyDescent="0.25">
      <c r="A1459"/>
      <c r="B1459"/>
      <c r="C1459"/>
      <c r="D1459"/>
      <c r="E1459"/>
      <c r="F1459"/>
      <c r="G1459"/>
      <c r="H1459"/>
      <c r="I1459"/>
      <c r="J1459"/>
    </row>
    <row r="1460" spans="1:10" x14ac:dyDescent="0.25">
      <c r="A1460"/>
      <c r="B1460"/>
      <c r="C1460"/>
      <c r="D1460"/>
      <c r="E1460"/>
      <c r="F1460"/>
      <c r="G1460"/>
      <c r="H1460"/>
      <c r="I1460"/>
      <c r="J1460"/>
    </row>
    <row r="1461" spans="1:10" x14ac:dyDescent="0.25">
      <c r="A1461"/>
      <c r="B1461"/>
      <c r="C1461"/>
      <c r="D1461"/>
      <c r="E1461"/>
      <c r="F1461"/>
      <c r="G1461"/>
      <c r="H1461"/>
      <c r="I1461"/>
      <c r="J1461"/>
    </row>
    <row r="1462" spans="1:10" x14ac:dyDescent="0.25">
      <c r="A1462"/>
      <c r="B1462"/>
      <c r="C1462"/>
      <c r="D1462"/>
      <c r="E1462"/>
      <c r="F1462"/>
      <c r="G1462"/>
      <c r="H1462"/>
      <c r="I1462"/>
      <c r="J1462"/>
    </row>
    <row r="1463" spans="1:10" x14ac:dyDescent="0.25">
      <c r="A1463"/>
      <c r="B1463"/>
      <c r="C1463"/>
      <c r="D1463"/>
      <c r="E1463"/>
      <c r="F1463"/>
      <c r="G1463"/>
      <c r="H1463"/>
      <c r="I1463"/>
      <c r="J1463"/>
    </row>
    <row r="1464" spans="1:10" x14ac:dyDescent="0.25">
      <c r="A1464"/>
      <c r="B1464"/>
      <c r="C1464"/>
      <c r="D1464"/>
      <c r="E1464"/>
      <c r="F1464"/>
      <c r="G1464"/>
      <c r="H1464"/>
      <c r="I1464"/>
      <c r="J1464"/>
    </row>
    <row r="1465" spans="1:10" x14ac:dyDescent="0.25">
      <c r="A1465"/>
      <c r="B1465"/>
      <c r="C1465"/>
      <c r="D1465"/>
      <c r="E1465"/>
      <c r="F1465"/>
      <c r="G1465"/>
      <c r="H1465"/>
      <c r="I1465"/>
      <c r="J1465"/>
    </row>
    <row r="1466" spans="1:10" x14ac:dyDescent="0.25">
      <c r="A1466"/>
      <c r="B1466"/>
      <c r="C1466"/>
      <c r="D1466"/>
      <c r="E1466"/>
      <c r="F1466"/>
      <c r="G1466"/>
      <c r="H1466"/>
      <c r="I1466"/>
      <c r="J1466"/>
    </row>
    <row r="1467" spans="1:10" x14ac:dyDescent="0.25">
      <c r="A1467"/>
      <c r="B1467"/>
      <c r="C1467"/>
      <c r="D1467"/>
      <c r="E1467"/>
      <c r="F1467"/>
      <c r="G1467"/>
      <c r="H1467"/>
      <c r="I1467"/>
      <c r="J1467"/>
    </row>
    <row r="1468" spans="1:10" x14ac:dyDescent="0.25">
      <c r="A1468"/>
      <c r="B1468"/>
      <c r="C1468"/>
      <c r="D1468"/>
      <c r="E1468"/>
      <c r="F1468"/>
      <c r="G1468"/>
      <c r="H1468"/>
      <c r="I1468"/>
      <c r="J1468"/>
    </row>
    <row r="1469" spans="1:10" x14ac:dyDescent="0.25">
      <c r="A1469"/>
      <c r="B1469"/>
      <c r="C1469"/>
      <c r="D1469"/>
      <c r="E1469"/>
      <c r="F1469"/>
      <c r="G1469"/>
      <c r="H1469"/>
      <c r="I1469"/>
      <c r="J1469"/>
    </row>
    <row r="1470" spans="1:10" x14ac:dyDescent="0.25">
      <c r="A1470"/>
      <c r="B1470"/>
      <c r="C1470"/>
      <c r="D1470"/>
      <c r="E1470"/>
      <c r="F1470"/>
      <c r="G1470"/>
      <c r="H1470"/>
      <c r="I1470"/>
      <c r="J1470"/>
    </row>
    <row r="1471" spans="1:10" x14ac:dyDescent="0.25">
      <c r="A1471"/>
      <c r="B1471"/>
      <c r="C1471"/>
      <c r="D1471"/>
      <c r="E1471"/>
      <c r="F1471"/>
      <c r="G1471"/>
      <c r="H1471"/>
      <c r="I1471"/>
      <c r="J1471"/>
    </row>
    <row r="1472" spans="1:10" x14ac:dyDescent="0.25">
      <c r="A1472"/>
      <c r="B1472"/>
      <c r="C1472"/>
      <c r="D1472"/>
      <c r="E1472"/>
      <c r="F1472"/>
      <c r="G1472"/>
      <c r="H1472"/>
      <c r="I1472"/>
      <c r="J1472"/>
    </row>
    <row r="1473" spans="1:10" x14ac:dyDescent="0.25">
      <c r="A1473"/>
      <c r="B1473"/>
      <c r="C1473"/>
      <c r="D1473"/>
      <c r="E1473"/>
      <c r="F1473"/>
      <c r="G1473"/>
      <c r="H1473"/>
      <c r="I1473"/>
      <c r="J1473"/>
    </row>
    <row r="1474" spans="1:10" x14ac:dyDescent="0.25">
      <c r="A1474"/>
      <c r="B1474"/>
      <c r="C1474"/>
      <c r="D1474"/>
      <c r="E1474"/>
      <c r="F1474"/>
      <c r="G1474"/>
      <c r="H1474"/>
      <c r="I1474"/>
      <c r="J1474"/>
    </row>
    <row r="1475" spans="1:10" x14ac:dyDescent="0.25">
      <c r="A1475"/>
      <c r="B1475"/>
      <c r="C1475"/>
      <c r="D1475"/>
      <c r="E1475"/>
      <c r="F1475"/>
      <c r="G1475"/>
      <c r="H1475"/>
      <c r="I1475"/>
      <c r="J1475"/>
    </row>
    <row r="1476" spans="1:10" x14ac:dyDescent="0.25">
      <c r="A1476"/>
      <c r="B1476"/>
      <c r="C1476"/>
      <c r="D1476"/>
      <c r="E1476"/>
      <c r="F1476"/>
      <c r="G1476"/>
      <c r="H1476"/>
      <c r="I1476"/>
      <c r="J1476"/>
    </row>
    <row r="1477" spans="1:10" x14ac:dyDescent="0.25">
      <c r="A1477"/>
      <c r="B1477"/>
      <c r="C1477"/>
      <c r="D1477"/>
      <c r="E1477"/>
      <c r="F1477"/>
      <c r="G1477"/>
      <c r="H1477"/>
      <c r="I1477"/>
      <c r="J1477"/>
    </row>
    <row r="1478" spans="1:10" x14ac:dyDescent="0.25">
      <c r="A1478"/>
      <c r="B1478"/>
      <c r="C1478"/>
      <c r="D1478"/>
      <c r="E1478"/>
      <c r="F1478"/>
      <c r="G1478"/>
      <c r="H1478"/>
      <c r="I1478"/>
      <c r="J1478"/>
    </row>
    <row r="1479" spans="1:10" x14ac:dyDescent="0.25">
      <c r="A1479"/>
      <c r="B1479"/>
      <c r="C1479"/>
      <c r="D1479"/>
      <c r="E1479"/>
      <c r="F1479"/>
      <c r="G1479"/>
      <c r="H1479"/>
      <c r="I1479"/>
      <c r="J1479"/>
    </row>
    <row r="1480" spans="1:10" x14ac:dyDescent="0.25">
      <c r="A1480"/>
      <c r="B1480"/>
      <c r="C1480"/>
      <c r="D1480"/>
      <c r="E1480"/>
      <c r="F1480"/>
      <c r="G1480"/>
      <c r="H1480"/>
      <c r="I1480"/>
      <c r="J1480"/>
    </row>
    <row r="1481" spans="1:10" x14ac:dyDescent="0.25">
      <c r="A1481"/>
      <c r="B1481"/>
      <c r="C1481"/>
      <c r="D1481"/>
      <c r="E1481"/>
      <c r="F1481"/>
      <c r="G1481"/>
      <c r="H1481"/>
      <c r="I1481"/>
      <c r="J1481"/>
    </row>
    <row r="1482" spans="1:10" x14ac:dyDescent="0.25">
      <c r="A1482"/>
      <c r="B1482"/>
      <c r="C1482"/>
      <c r="D1482"/>
      <c r="E1482"/>
      <c r="F1482"/>
      <c r="G1482"/>
      <c r="H1482"/>
      <c r="I1482"/>
      <c r="J1482"/>
    </row>
    <row r="1483" spans="1:10" x14ac:dyDescent="0.25">
      <c r="A1483"/>
      <c r="B1483"/>
      <c r="C1483"/>
      <c r="D1483"/>
      <c r="E1483"/>
      <c r="F1483"/>
      <c r="G1483"/>
      <c r="H1483"/>
      <c r="I1483"/>
      <c r="J1483"/>
    </row>
    <row r="1484" spans="1:10" x14ac:dyDescent="0.25">
      <c r="A1484"/>
      <c r="B1484"/>
      <c r="C1484"/>
      <c r="D1484"/>
      <c r="E1484"/>
      <c r="F1484"/>
      <c r="G1484"/>
      <c r="H1484"/>
      <c r="I1484"/>
      <c r="J1484"/>
    </row>
    <row r="1485" spans="1:10" x14ac:dyDescent="0.25">
      <c r="A1485"/>
      <c r="B1485"/>
      <c r="C1485"/>
      <c r="D1485"/>
      <c r="E1485"/>
      <c r="F1485"/>
      <c r="G1485"/>
      <c r="H1485"/>
      <c r="I1485"/>
      <c r="J1485"/>
    </row>
    <row r="1486" spans="1:10" x14ac:dyDescent="0.25">
      <c r="A1486"/>
      <c r="B1486"/>
      <c r="C1486"/>
      <c r="D1486"/>
      <c r="E1486"/>
      <c r="F1486"/>
      <c r="G1486"/>
      <c r="H1486"/>
      <c r="I1486"/>
      <c r="J1486"/>
    </row>
    <row r="1487" spans="1:10" x14ac:dyDescent="0.25">
      <c r="A1487"/>
      <c r="B1487"/>
      <c r="C1487"/>
      <c r="D1487"/>
      <c r="E1487"/>
      <c r="F1487"/>
      <c r="G1487"/>
      <c r="H1487"/>
      <c r="I1487"/>
      <c r="J1487"/>
    </row>
    <row r="1488" spans="1:10" x14ac:dyDescent="0.25">
      <c r="A1488"/>
      <c r="B1488"/>
      <c r="C1488"/>
      <c r="D1488"/>
      <c r="E1488"/>
      <c r="F1488"/>
      <c r="G1488"/>
      <c r="H1488"/>
      <c r="I1488"/>
      <c r="J1488"/>
    </row>
    <row r="1489" spans="1:10" x14ac:dyDescent="0.25">
      <c r="A1489"/>
      <c r="B1489"/>
      <c r="C1489"/>
      <c r="D1489"/>
      <c r="E1489"/>
      <c r="F1489"/>
      <c r="G1489"/>
      <c r="H1489"/>
      <c r="I1489"/>
      <c r="J1489"/>
    </row>
    <row r="1490" spans="1:10" x14ac:dyDescent="0.25">
      <c r="A1490"/>
      <c r="B1490"/>
      <c r="C1490"/>
      <c r="D1490"/>
      <c r="E1490"/>
      <c r="F1490"/>
      <c r="G1490"/>
      <c r="H1490"/>
      <c r="I1490"/>
      <c r="J1490"/>
    </row>
    <row r="1491" spans="1:10" x14ac:dyDescent="0.25">
      <c r="A1491"/>
      <c r="B1491"/>
      <c r="C1491"/>
      <c r="D1491"/>
      <c r="E1491"/>
      <c r="F1491"/>
      <c r="G1491"/>
      <c r="H1491"/>
      <c r="I1491"/>
      <c r="J1491"/>
    </row>
    <row r="1492" spans="1:10" x14ac:dyDescent="0.25">
      <c r="A1492"/>
      <c r="B1492"/>
      <c r="C1492"/>
      <c r="D1492"/>
      <c r="E1492"/>
      <c r="F1492"/>
      <c r="G1492"/>
      <c r="H1492"/>
      <c r="I1492"/>
      <c r="J1492"/>
    </row>
    <row r="1493" spans="1:10" x14ac:dyDescent="0.25">
      <c r="A1493"/>
      <c r="B1493"/>
      <c r="C1493"/>
      <c r="D1493"/>
      <c r="E1493"/>
      <c r="F1493"/>
      <c r="G1493"/>
      <c r="H1493"/>
      <c r="I1493"/>
      <c r="J1493"/>
    </row>
    <row r="1494" spans="1:10" x14ac:dyDescent="0.25">
      <c r="A1494"/>
      <c r="B1494"/>
      <c r="C1494"/>
      <c r="D1494"/>
      <c r="E1494"/>
      <c r="F1494"/>
      <c r="G1494"/>
      <c r="H1494"/>
      <c r="I1494"/>
      <c r="J1494"/>
    </row>
    <row r="1495" spans="1:10" x14ac:dyDescent="0.25">
      <c r="A1495"/>
      <c r="B1495"/>
      <c r="C1495"/>
      <c r="D1495"/>
      <c r="E1495"/>
      <c r="F1495"/>
      <c r="G1495"/>
      <c r="H1495"/>
      <c r="I1495"/>
      <c r="J1495"/>
    </row>
    <row r="1496" spans="1:10" x14ac:dyDescent="0.25">
      <c r="A1496"/>
      <c r="B1496"/>
      <c r="C1496"/>
      <c r="D1496"/>
      <c r="E1496"/>
      <c r="F1496"/>
      <c r="G1496"/>
      <c r="H1496"/>
      <c r="I1496"/>
      <c r="J1496"/>
    </row>
    <row r="1497" spans="1:10" x14ac:dyDescent="0.25">
      <c r="A1497"/>
      <c r="B1497"/>
      <c r="C1497"/>
      <c r="D1497"/>
      <c r="E1497"/>
      <c r="F1497"/>
      <c r="G1497"/>
      <c r="H1497"/>
      <c r="I1497"/>
      <c r="J1497"/>
    </row>
    <row r="1498" spans="1:10" x14ac:dyDescent="0.25">
      <c r="A1498"/>
      <c r="B1498"/>
      <c r="C1498"/>
      <c r="D1498"/>
      <c r="E1498"/>
      <c r="F1498"/>
      <c r="G1498"/>
      <c r="H1498"/>
      <c r="I1498"/>
      <c r="J1498"/>
    </row>
    <row r="1499" spans="1:10" x14ac:dyDescent="0.25">
      <c r="A1499"/>
      <c r="B1499"/>
      <c r="C1499"/>
      <c r="D1499"/>
      <c r="E1499"/>
      <c r="F1499"/>
      <c r="G1499"/>
      <c r="H1499"/>
      <c r="I1499"/>
      <c r="J1499"/>
    </row>
    <row r="1500" spans="1:10" x14ac:dyDescent="0.25">
      <c r="A1500"/>
      <c r="B1500"/>
      <c r="C1500"/>
      <c r="D1500"/>
      <c r="E1500"/>
      <c r="F1500"/>
      <c r="G1500"/>
      <c r="H1500"/>
      <c r="I1500"/>
      <c r="J1500"/>
    </row>
    <row r="1501" spans="1:10" x14ac:dyDescent="0.25">
      <c r="A1501"/>
      <c r="B1501"/>
      <c r="C1501"/>
      <c r="D1501"/>
      <c r="E1501"/>
      <c r="F1501"/>
      <c r="G1501"/>
      <c r="H1501"/>
      <c r="I1501"/>
      <c r="J1501"/>
    </row>
    <row r="1502" spans="1:10" x14ac:dyDescent="0.25">
      <c r="A1502"/>
      <c r="B1502"/>
      <c r="C1502"/>
      <c r="D1502"/>
      <c r="E1502"/>
      <c r="F1502"/>
      <c r="G1502"/>
      <c r="H1502"/>
      <c r="I1502"/>
      <c r="J1502"/>
    </row>
    <row r="1503" spans="1:10" x14ac:dyDescent="0.25">
      <c r="A1503"/>
      <c r="B1503"/>
      <c r="C1503"/>
      <c r="D1503"/>
      <c r="E1503"/>
      <c r="F1503"/>
      <c r="G1503"/>
      <c r="H1503"/>
      <c r="I1503"/>
      <c r="J1503"/>
    </row>
    <row r="1504" spans="1:10" x14ac:dyDescent="0.25">
      <c r="A1504"/>
      <c r="B1504"/>
      <c r="C1504"/>
      <c r="D1504"/>
      <c r="E1504"/>
      <c r="F1504"/>
      <c r="G1504"/>
      <c r="H1504"/>
      <c r="I1504"/>
      <c r="J1504"/>
    </row>
    <row r="1505" spans="1:10" x14ac:dyDescent="0.25">
      <c r="A1505"/>
      <c r="B1505"/>
      <c r="C1505"/>
      <c r="D1505"/>
      <c r="E1505"/>
      <c r="F1505"/>
      <c r="G1505"/>
      <c r="H1505"/>
      <c r="I1505"/>
      <c r="J1505"/>
    </row>
    <row r="1506" spans="1:10" x14ac:dyDescent="0.25">
      <c r="A1506"/>
      <c r="B1506"/>
      <c r="C1506"/>
      <c r="D1506"/>
      <c r="E1506"/>
      <c r="F1506"/>
      <c r="G1506"/>
      <c r="H1506"/>
      <c r="I1506"/>
      <c r="J1506"/>
    </row>
    <row r="1507" spans="1:10" x14ac:dyDescent="0.25">
      <c r="A1507"/>
      <c r="B1507"/>
      <c r="C1507"/>
      <c r="D1507"/>
      <c r="E1507"/>
      <c r="F1507"/>
      <c r="G1507"/>
      <c r="H1507"/>
      <c r="I1507"/>
      <c r="J1507"/>
    </row>
    <row r="1508" spans="1:10" x14ac:dyDescent="0.25">
      <c r="A1508"/>
      <c r="B1508"/>
      <c r="C1508"/>
      <c r="D1508"/>
      <c r="E1508"/>
      <c r="F1508"/>
      <c r="G1508"/>
      <c r="H1508"/>
      <c r="I1508"/>
      <c r="J1508"/>
    </row>
    <row r="1509" spans="1:10" x14ac:dyDescent="0.25">
      <c r="A1509"/>
      <c r="B1509"/>
      <c r="C1509"/>
      <c r="D1509"/>
      <c r="E1509"/>
      <c r="F1509"/>
      <c r="G1509"/>
      <c r="H1509"/>
      <c r="I1509"/>
      <c r="J1509"/>
    </row>
    <row r="1510" spans="1:10" x14ac:dyDescent="0.25">
      <c r="A1510"/>
      <c r="B1510"/>
      <c r="C1510"/>
      <c r="D1510"/>
      <c r="E1510"/>
      <c r="F1510"/>
      <c r="G1510"/>
      <c r="H1510"/>
      <c r="I1510"/>
      <c r="J1510"/>
    </row>
    <row r="1511" spans="1:10" x14ac:dyDescent="0.25">
      <c r="A1511"/>
      <c r="B1511"/>
      <c r="C1511"/>
      <c r="D1511"/>
      <c r="E1511"/>
      <c r="F1511"/>
      <c r="G1511"/>
      <c r="H1511"/>
      <c r="I1511"/>
      <c r="J1511"/>
    </row>
    <row r="1512" spans="1:10" x14ac:dyDescent="0.25">
      <c r="A1512"/>
      <c r="B1512"/>
      <c r="C1512"/>
      <c r="D1512"/>
      <c r="E1512"/>
      <c r="F1512"/>
      <c r="G1512"/>
      <c r="H1512"/>
      <c r="I1512"/>
      <c r="J1512"/>
    </row>
    <row r="1513" spans="1:10" x14ac:dyDescent="0.25">
      <c r="A1513"/>
      <c r="B1513"/>
      <c r="C1513"/>
      <c r="D1513"/>
      <c r="E1513"/>
      <c r="F1513"/>
      <c r="G1513"/>
      <c r="H1513"/>
      <c r="I1513"/>
      <c r="J1513"/>
    </row>
    <row r="1514" spans="1:10" x14ac:dyDescent="0.25">
      <c r="A1514"/>
      <c r="B1514"/>
      <c r="C1514"/>
      <c r="D1514"/>
      <c r="E1514"/>
      <c r="F1514"/>
      <c r="G1514"/>
      <c r="H1514"/>
      <c r="I1514"/>
      <c r="J1514"/>
    </row>
    <row r="1515" spans="1:10" x14ac:dyDescent="0.25">
      <c r="A1515"/>
      <c r="B1515"/>
      <c r="C1515"/>
      <c r="D1515"/>
      <c r="E1515"/>
      <c r="F1515"/>
      <c r="G1515"/>
      <c r="H1515"/>
      <c r="I1515"/>
      <c r="J1515"/>
    </row>
    <row r="1516" spans="1:10" x14ac:dyDescent="0.25">
      <c r="A1516"/>
      <c r="B1516"/>
      <c r="C1516"/>
      <c r="D1516"/>
      <c r="E1516"/>
      <c r="F1516"/>
      <c r="G1516"/>
      <c r="H1516"/>
      <c r="I1516"/>
      <c r="J1516"/>
    </row>
    <row r="1517" spans="1:10" x14ac:dyDescent="0.25">
      <c r="A1517"/>
      <c r="B1517"/>
      <c r="C1517"/>
      <c r="D1517"/>
      <c r="E1517"/>
      <c r="F1517"/>
      <c r="G1517"/>
      <c r="H1517"/>
      <c r="I1517"/>
      <c r="J1517"/>
    </row>
    <row r="1518" spans="1:10" x14ac:dyDescent="0.25">
      <c r="A1518"/>
      <c r="B1518"/>
      <c r="C1518"/>
      <c r="D1518"/>
      <c r="E1518"/>
      <c r="F1518"/>
      <c r="G1518"/>
      <c r="H1518"/>
      <c r="I1518"/>
      <c r="J1518"/>
    </row>
    <row r="1519" spans="1:10" x14ac:dyDescent="0.25">
      <c r="A1519"/>
      <c r="B1519"/>
      <c r="C1519"/>
      <c r="D1519"/>
      <c r="E1519"/>
      <c r="F1519"/>
      <c r="G1519"/>
      <c r="H1519"/>
      <c r="I1519"/>
      <c r="J1519"/>
    </row>
    <row r="1520" spans="1:10" x14ac:dyDescent="0.25">
      <c r="A1520"/>
      <c r="B1520"/>
      <c r="C1520"/>
      <c r="D1520"/>
      <c r="E1520"/>
      <c r="F1520"/>
      <c r="G1520"/>
      <c r="H1520"/>
      <c r="I1520"/>
      <c r="J1520"/>
    </row>
    <row r="1521" spans="1:10" x14ac:dyDescent="0.25">
      <c r="A1521"/>
      <c r="B1521"/>
      <c r="C1521"/>
      <c r="D1521"/>
      <c r="E1521"/>
      <c r="F1521"/>
      <c r="G1521"/>
      <c r="H1521"/>
      <c r="I1521"/>
      <c r="J1521"/>
    </row>
    <row r="1522" spans="1:10" x14ac:dyDescent="0.25">
      <c r="A1522"/>
      <c r="B1522"/>
      <c r="C1522"/>
      <c r="D1522"/>
      <c r="E1522"/>
      <c r="F1522"/>
      <c r="G1522"/>
      <c r="H1522"/>
      <c r="I1522"/>
      <c r="J1522"/>
    </row>
    <row r="1523" spans="1:10" x14ac:dyDescent="0.25">
      <c r="A1523"/>
      <c r="B1523"/>
      <c r="C1523"/>
      <c r="D1523"/>
      <c r="E1523"/>
      <c r="F1523"/>
      <c r="G1523"/>
      <c r="H1523"/>
      <c r="I1523"/>
      <c r="J1523"/>
    </row>
    <row r="1524" spans="1:10" x14ac:dyDescent="0.25">
      <c r="A1524"/>
      <c r="B1524"/>
      <c r="C1524"/>
      <c r="D1524"/>
      <c r="E1524"/>
      <c r="F1524"/>
      <c r="G1524"/>
      <c r="H1524"/>
      <c r="I1524"/>
      <c r="J1524"/>
    </row>
    <row r="1525" spans="1:10" x14ac:dyDescent="0.25">
      <c r="A1525"/>
      <c r="B1525"/>
      <c r="C1525"/>
      <c r="D1525"/>
      <c r="E1525"/>
      <c r="F1525"/>
      <c r="G1525"/>
      <c r="H1525"/>
      <c r="I1525"/>
      <c r="J1525"/>
    </row>
    <row r="1526" spans="1:10" x14ac:dyDescent="0.25">
      <c r="A1526"/>
      <c r="B1526"/>
      <c r="C1526"/>
      <c r="D1526"/>
      <c r="E1526"/>
      <c r="F1526"/>
      <c r="G1526"/>
      <c r="H1526"/>
      <c r="I1526"/>
      <c r="J1526"/>
    </row>
    <row r="1527" spans="1:10" x14ac:dyDescent="0.25">
      <c r="A1527"/>
      <c r="B1527"/>
      <c r="C1527"/>
      <c r="D1527"/>
      <c r="E1527"/>
      <c r="F1527"/>
      <c r="G1527"/>
      <c r="H1527"/>
      <c r="I1527"/>
      <c r="J1527"/>
    </row>
    <row r="1528" spans="1:10" x14ac:dyDescent="0.25">
      <c r="A1528"/>
      <c r="B1528"/>
      <c r="C1528"/>
      <c r="D1528"/>
      <c r="E1528"/>
      <c r="F1528"/>
      <c r="G1528"/>
      <c r="H1528"/>
      <c r="I1528"/>
      <c r="J1528"/>
    </row>
    <row r="1529" spans="1:10" x14ac:dyDescent="0.25">
      <c r="A1529"/>
      <c r="B1529"/>
      <c r="C1529"/>
      <c r="D1529"/>
      <c r="E1529"/>
      <c r="F1529"/>
      <c r="G1529"/>
      <c r="H1529"/>
      <c r="I1529"/>
      <c r="J1529"/>
    </row>
    <row r="1530" spans="1:10" x14ac:dyDescent="0.25">
      <c r="A1530"/>
      <c r="B1530"/>
      <c r="C1530"/>
      <c r="D1530"/>
      <c r="E1530"/>
      <c r="F1530"/>
      <c r="G1530"/>
      <c r="H1530"/>
      <c r="I1530"/>
      <c r="J1530"/>
    </row>
    <row r="1531" spans="1:10" x14ac:dyDescent="0.25">
      <c r="A1531"/>
      <c r="B1531"/>
      <c r="C1531"/>
      <c r="D1531"/>
      <c r="E1531"/>
      <c r="F1531"/>
      <c r="G1531"/>
      <c r="H1531"/>
      <c r="I1531"/>
      <c r="J1531"/>
    </row>
    <row r="1532" spans="1:10" x14ac:dyDescent="0.25">
      <c r="A1532"/>
      <c r="B1532"/>
      <c r="C1532"/>
      <c r="D1532"/>
      <c r="E1532"/>
      <c r="F1532"/>
      <c r="G1532"/>
      <c r="H1532"/>
      <c r="I1532"/>
      <c r="J1532"/>
    </row>
    <row r="1533" spans="1:10" x14ac:dyDescent="0.25">
      <c r="A1533"/>
      <c r="B1533"/>
      <c r="C1533"/>
      <c r="D1533"/>
      <c r="E1533"/>
      <c r="F1533"/>
      <c r="G1533"/>
      <c r="H1533"/>
      <c r="I1533"/>
      <c r="J1533"/>
    </row>
    <row r="1534" spans="1:10" x14ac:dyDescent="0.25">
      <c r="A1534"/>
      <c r="B1534"/>
      <c r="C1534"/>
      <c r="D1534"/>
      <c r="E1534"/>
      <c r="F1534"/>
      <c r="G1534"/>
      <c r="H1534"/>
      <c r="I1534"/>
      <c r="J1534"/>
    </row>
    <row r="1535" spans="1:10" x14ac:dyDescent="0.25">
      <c r="A1535"/>
      <c r="B1535"/>
      <c r="C1535"/>
      <c r="D1535"/>
      <c r="E1535"/>
      <c r="F1535"/>
      <c r="G1535"/>
      <c r="H1535"/>
      <c r="I1535"/>
      <c r="J1535"/>
    </row>
    <row r="1536" spans="1:10" x14ac:dyDescent="0.25">
      <c r="A1536"/>
      <c r="B1536"/>
      <c r="C1536"/>
      <c r="D1536"/>
      <c r="E1536"/>
      <c r="F1536"/>
      <c r="G1536"/>
      <c r="H1536"/>
      <c r="I1536"/>
      <c r="J1536"/>
    </row>
    <row r="1537" spans="1:10" x14ac:dyDescent="0.25">
      <c r="A1537"/>
      <c r="B1537"/>
      <c r="C1537"/>
      <c r="D1537"/>
      <c r="E1537"/>
      <c r="F1537"/>
      <c r="G1537"/>
      <c r="H1537"/>
      <c r="I1537"/>
      <c r="J1537"/>
    </row>
    <row r="1538" spans="1:10" x14ac:dyDescent="0.25">
      <c r="A1538"/>
      <c r="B1538"/>
      <c r="C1538"/>
      <c r="D1538"/>
      <c r="E1538"/>
      <c r="F1538"/>
      <c r="G1538"/>
      <c r="H1538"/>
      <c r="I1538"/>
      <c r="J1538"/>
    </row>
    <row r="1539" spans="1:10" x14ac:dyDescent="0.25">
      <c r="A1539"/>
      <c r="B1539"/>
      <c r="C1539"/>
      <c r="D1539"/>
      <c r="E1539"/>
      <c r="F1539"/>
      <c r="G1539"/>
      <c r="H1539"/>
      <c r="I1539"/>
      <c r="J1539"/>
    </row>
    <row r="1540" spans="1:10" x14ac:dyDescent="0.25">
      <c r="A1540"/>
      <c r="B1540"/>
      <c r="C1540"/>
      <c r="D1540"/>
      <c r="E1540"/>
      <c r="F1540"/>
      <c r="G1540"/>
      <c r="H1540"/>
      <c r="I1540"/>
      <c r="J1540"/>
    </row>
    <row r="1541" spans="1:10" x14ac:dyDescent="0.25">
      <c r="A1541"/>
      <c r="B1541"/>
      <c r="C1541"/>
      <c r="D1541"/>
      <c r="E1541"/>
      <c r="F1541"/>
      <c r="G1541"/>
      <c r="H1541"/>
      <c r="I1541"/>
      <c r="J1541"/>
    </row>
    <row r="1542" spans="1:10" x14ac:dyDescent="0.25">
      <c r="A1542"/>
      <c r="B1542"/>
      <c r="C1542"/>
      <c r="D1542"/>
      <c r="E1542"/>
      <c r="F1542"/>
      <c r="G1542"/>
      <c r="H1542"/>
      <c r="I1542"/>
      <c r="J1542"/>
    </row>
    <row r="1543" spans="1:10" x14ac:dyDescent="0.25">
      <c r="A1543"/>
      <c r="B1543"/>
      <c r="C1543"/>
      <c r="D1543"/>
      <c r="E1543"/>
      <c r="F1543"/>
      <c r="G1543"/>
      <c r="H1543"/>
      <c r="I1543"/>
      <c r="J1543"/>
    </row>
    <row r="1544" spans="1:10" x14ac:dyDescent="0.25">
      <c r="A1544"/>
      <c r="B1544"/>
      <c r="C1544"/>
      <c r="D1544"/>
      <c r="E1544"/>
      <c r="F1544"/>
      <c r="G1544"/>
      <c r="H1544"/>
      <c r="I1544"/>
      <c r="J1544"/>
    </row>
    <row r="1545" spans="1:10" x14ac:dyDescent="0.25">
      <c r="A1545"/>
      <c r="B1545"/>
      <c r="C1545"/>
      <c r="D1545"/>
      <c r="E1545"/>
      <c r="F1545"/>
      <c r="G1545"/>
      <c r="H1545"/>
      <c r="I1545"/>
      <c r="J1545"/>
    </row>
    <row r="1546" spans="1:10" x14ac:dyDescent="0.25">
      <c r="A1546"/>
      <c r="B1546"/>
      <c r="C1546"/>
      <c r="D1546"/>
      <c r="E1546"/>
      <c r="F1546"/>
      <c r="G1546"/>
      <c r="H1546"/>
      <c r="I1546"/>
      <c r="J1546"/>
    </row>
    <row r="1547" spans="1:10" x14ac:dyDescent="0.25">
      <c r="A1547"/>
      <c r="B1547"/>
      <c r="C1547"/>
      <c r="D1547"/>
      <c r="E1547"/>
      <c r="F1547"/>
      <c r="G1547"/>
      <c r="H1547"/>
      <c r="I1547"/>
      <c r="J1547"/>
    </row>
    <row r="1548" spans="1:10" x14ac:dyDescent="0.25">
      <c r="A1548"/>
      <c r="B1548"/>
      <c r="C1548"/>
      <c r="D1548"/>
      <c r="E1548"/>
      <c r="F1548"/>
      <c r="G1548"/>
      <c r="H1548"/>
      <c r="I1548"/>
      <c r="J1548"/>
    </row>
    <row r="1549" spans="1:10" x14ac:dyDescent="0.25">
      <c r="A1549"/>
      <c r="B1549"/>
      <c r="C1549"/>
      <c r="D1549"/>
      <c r="E1549"/>
      <c r="F1549"/>
      <c r="G1549"/>
      <c r="H1549"/>
      <c r="I1549"/>
      <c r="J1549"/>
    </row>
    <row r="1550" spans="1:10" x14ac:dyDescent="0.25">
      <c r="A1550"/>
      <c r="B1550"/>
      <c r="C1550"/>
      <c r="D1550"/>
      <c r="E1550"/>
      <c r="F1550"/>
      <c r="G1550"/>
      <c r="H1550"/>
      <c r="I1550"/>
      <c r="J1550"/>
    </row>
    <row r="1551" spans="1:10" x14ac:dyDescent="0.25">
      <c r="A1551"/>
      <c r="B1551"/>
      <c r="C1551"/>
      <c r="D1551"/>
      <c r="E1551"/>
      <c r="F1551"/>
      <c r="G1551"/>
      <c r="H1551"/>
      <c r="I1551"/>
      <c r="J1551"/>
    </row>
    <row r="1552" spans="1:10" x14ac:dyDescent="0.25">
      <c r="A1552"/>
      <c r="B1552"/>
      <c r="C1552"/>
      <c r="D1552"/>
      <c r="E1552"/>
      <c r="F1552"/>
      <c r="G1552"/>
      <c r="H1552"/>
      <c r="I1552"/>
      <c r="J1552"/>
    </row>
    <row r="1553" spans="1:10" x14ac:dyDescent="0.25">
      <c r="A1553"/>
      <c r="B1553"/>
      <c r="C1553"/>
      <c r="D1553"/>
      <c r="E1553"/>
      <c r="F1553"/>
      <c r="G1553"/>
      <c r="H1553"/>
      <c r="I1553"/>
      <c r="J1553"/>
    </row>
    <row r="1554" spans="1:10" x14ac:dyDescent="0.25">
      <c r="A1554"/>
      <c r="B1554"/>
      <c r="C1554"/>
      <c r="D1554"/>
      <c r="E1554"/>
      <c r="F1554"/>
      <c r="G1554"/>
      <c r="H1554"/>
      <c r="I1554"/>
      <c r="J1554"/>
    </row>
    <row r="1555" spans="1:10" x14ac:dyDescent="0.25">
      <c r="A1555"/>
      <c r="B1555"/>
      <c r="C1555"/>
      <c r="D1555"/>
      <c r="E1555"/>
      <c r="F1555"/>
      <c r="G1555"/>
      <c r="H1555"/>
      <c r="I1555"/>
      <c r="J1555"/>
    </row>
    <row r="1556" spans="1:10" x14ac:dyDescent="0.25">
      <c r="A1556"/>
      <c r="B1556"/>
      <c r="C1556"/>
      <c r="D1556"/>
      <c r="E1556"/>
      <c r="F1556"/>
      <c r="G1556"/>
      <c r="H1556"/>
      <c r="I1556"/>
      <c r="J1556"/>
    </row>
    <row r="1557" spans="1:10" x14ac:dyDescent="0.25">
      <c r="A1557"/>
      <c r="B1557"/>
      <c r="C1557"/>
      <c r="D1557"/>
      <c r="E1557"/>
      <c r="F1557"/>
      <c r="G1557"/>
      <c r="H1557"/>
      <c r="I1557"/>
      <c r="J1557"/>
    </row>
    <row r="1558" spans="1:10" x14ac:dyDescent="0.25">
      <c r="A1558"/>
      <c r="B1558"/>
      <c r="C1558"/>
      <c r="D1558"/>
      <c r="E1558"/>
      <c r="F1558"/>
      <c r="G1558"/>
      <c r="H1558"/>
      <c r="I1558"/>
      <c r="J1558"/>
    </row>
    <row r="1559" spans="1:10" x14ac:dyDescent="0.25">
      <c r="A1559"/>
      <c r="B1559"/>
      <c r="C1559"/>
      <c r="D1559"/>
      <c r="E1559"/>
      <c r="F1559"/>
      <c r="G1559"/>
      <c r="H1559"/>
      <c r="I1559"/>
      <c r="J1559"/>
    </row>
    <row r="1560" spans="1:10" x14ac:dyDescent="0.25">
      <c r="A1560"/>
      <c r="B1560"/>
      <c r="C1560"/>
      <c r="D1560"/>
      <c r="E1560"/>
      <c r="F1560"/>
      <c r="G1560"/>
      <c r="H1560"/>
      <c r="I1560"/>
      <c r="J1560"/>
    </row>
    <row r="1561" spans="1:10" x14ac:dyDescent="0.25">
      <c r="A1561"/>
      <c r="B1561"/>
      <c r="C1561"/>
      <c r="D1561"/>
      <c r="E1561"/>
      <c r="F1561"/>
      <c r="G1561"/>
      <c r="H1561"/>
      <c r="I1561"/>
      <c r="J1561"/>
    </row>
    <row r="1562" spans="1:10" x14ac:dyDescent="0.25">
      <c r="A1562"/>
      <c r="B1562"/>
      <c r="C1562"/>
      <c r="D1562"/>
      <c r="E1562"/>
      <c r="F1562"/>
      <c r="G1562"/>
      <c r="H1562"/>
      <c r="I1562"/>
      <c r="J1562"/>
    </row>
    <row r="1563" spans="1:10" x14ac:dyDescent="0.25">
      <c r="A1563"/>
      <c r="B1563"/>
      <c r="C1563"/>
      <c r="D1563"/>
      <c r="E1563"/>
      <c r="F1563"/>
      <c r="G1563"/>
      <c r="H1563"/>
      <c r="I1563"/>
      <c r="J1563"/>
    </row>
    <row r="1564" spans="1:10" x14ac:dyDescent="0.25">
      <c r="A1564"/>
      <c r="B1564"/>
      <c r="C1564"/>
      <c r="D1564"/>
      <c r="E1564"/>
      <c r="F1564"/>
      <c r="G1564"/>
      <c r="H1564"/>
      <c r="I1564"/>
      <c r="J1564"/>
    </row>
    <row r="1565" spans="1:10" x14ac:dyDescent="0.25">
      <c r="A1565"/>
      <c r="B1565"/>
      <c r="C1565"/>
      <c r="D1565"/>
      <c r="E1565"/>
      <c r="F1565"/>
      <c r="G1565"/>
      <c r="H1565"/>
      <c r="I1565"/>
      <c r="J1565"/>
    </row>
    <row r="1566" spans="1:10" x14ac:dyDescent="0.25">
      <c r="A1566"/>
      <c r="B1566"/>
      <c r="C1566"/>
      <c r="D1566"/>
      <c r="E1566"/>
      <c r="F1566"/>
      <c r="G1566"/>
      <c r="H1566"/>
      <c r="I1566"/>
      <c r="J1566"/>
    </row>
    <row r="1567" spans="1:10" x14ac:dyDescent="0.25">
      <c r="A1567"/>
      <c r="B1567"/>
      <c r="C1567"/>
      <c r="D1567"/>
      <c r="E1567"/>
      <c r="F1567"/>
      <c r="G1567"/>
      <c r="H1567"/>
      <c r="I1567"/>
      <c r="J1567"/>
    </row>
    <row r="1568" spans="1:10" x14ac:dyDescent="0.25">
      <c r="A1568"/>
      <c r="B1568"/>
      <c r="C1568"/>
      <c r="D1568"/>
      <c r="E1568"/>
      <c r="F1568"/>
      <c r="G1568"/>
      <c r="H1568"/>
      <c r="I1568"/>
      <c r="J1568"/>
    </row>
    <row r="1569" spans="1:10" x14ac:dyDescent="0.25">
      <c r="A1569"/>
      <c r="B1569"/>
      <c r="C1569"/>
      <c r="D1569"/>
      <c r="E1569"/>
      <c r="F1569"/>
      <c r="G1569"/>
      <c r="H1569"/>
      <c r="I1569"/>
      <c r="J1569"/>
    </row>
    <row r="1570" spans="1:10" x14ac:dyDescent="0.25">
      <c r="A1570"/>
      <c r="B1570"/>
      <c r="C1570"/>
      <c r="D1570"/>
      <c r="E1570"/>
      <c r="F1570"/>
      <c r="G1570"/>
      <c r="H1570"/>
      <c r="I1570"/>
      <c r="J1570"/>
    </row>
    <row r="1571" spans="1:10" x14ac:dyDescent="0.25">
      <c r="A1571"/>
      <c r="B1571"/>
      <c r="C1571"/>
      <c r="D1571"/>
      <c r="E1571"/>
      <c r="F1571"/>
      <c r="G1571"/>
      <c r="H1571"/>
      <c r="I1571"/>
      <c r="J1571"/>
    </row>
    <row r="1572" spans="1:10" x14ac:dyDescent="0.25">
      <c r="A1572"/>
      <c r="B1572"/>
      <c r="C1572"/>
      <c r="D1572"/>
      <c r="E1572"/>
      <c r="F1572"/>
      <c r="G1572"/>
      <c r="H1572"/>
      <c r="I1572"/>
      <c r="J1572"/>
    </row>
    <row r="1573" spans="1:10" x14ac:dyDescent="0.25">
      <c r="A1573"/>
      <c r="B1573"/>
      <c r="C1573"/>
      <c r="D1573"/>
      <c r="E1573"/>
      <c r="F1573"/>
      <c r="G1573"/>
      <c r="H1573"/>
      <c r="I1573"/>
      <c r="J1573"/>
    </row>
    <row r="1574" spans="1:10" x14ac:dyDescent="0.25">
      <c r="A1574"/>
      <c r="B1574"/>
      <c r="C1574"/>
      <c r="D1574"/>
      <c r="E1574"/>
      <c r="F1574"/>
      <c r="G1574"/>
      <c r="H1574"/>
      <c r="I1574"/>
      <c r="J1574"/>
    </row>
    <row r="1575" spans="1:10" x14ac:dyDescent="0.25">
      <c r="A1575"/>
      <c r="B1575"/>
      <c r="C1575"/>
      <c r="D1575"/>
      <c r="E1575"/>
      <c r="F1575"/>
      <c r="G1575"/>
      <c r="H1575"/>
      <c r="I1575"/>
      <c r="J1575"/>
    </row>
    <row r="1576" spans="1:10" x14ac:dyDescent="0.25">
      <c r="A1576"/>
      <c r="B1576"/>
      <c r="C1576"/>
      <c r="D1576"/>
      <c r="E1576"/>
      <c r="F1576"/>
      <c r="G1576"/>
      <c r="H1576"/>
      <c r="I1576"/>
      <c r="J1576"/>
    </row>
    <row r="1577" spans="1:10" x14ac:dyDescent="0.25">
      <c r="A1577"/>
      <c r="B1577"/>
      <c r="C1577"/>
      <c r="D1577"/>
      <c r="E1577"/>
      <c r="F1577"/>
      <c r="G1577"/>
      <c r="H1577"/>
      <c r="I1577"/>
      <c r="J1577"/>
    </row>
    <row r="1578" spans="1:10" x14ac:dyDescent="0.25">
      <c r="A1578"/>
      <c r="B1578"/>
      <c r="C1578"/>
      <c r="D1578"/>
      <c r="E1578"/>
      <c r="F1578"/>
      <c r="G1578"/>
      <c r="H1578"/>
      <c r="I1578"/>
      <c r="J1578"/>
    </row>
    <row r="1579" spans="1:10" x14ac:dyDescent="0.25">
      <c r="A1579"/>
      <c r="B1579"/>
      <c r="C1579"/>
      <c r="D1579"/>
      <c r="E1579"/>
      <c r="F1579"/>
      <c r="G1579"/>
      <c r="H1579"/>
      <c r="I1579"/>
      <c r="J1579"/>
    </row>
    <row r="1580" spans="1:10" x14ac:dyDescent="0.25">
      <c r="A1580"/>
      <c r="B1580"/>
      <c r="C1580"/>
      <c r="D1580"/>
      <c r="E1580"/>
      <c r="F1580"/>
      <c r="G1580"/>
      <c r="H1580"/>
      <c r="I1580"/>
      <c r="J1580"/>
    </row>
    <row r="1581" spans="1:10" x14ac:dyDescent="0.25">
      <c r="A1581"/>
      <c r="B1581"/>
      <c r="C1581"/>
      <c r="D1581"/>
      <c r="E1581"/>
      <c r="F1581"/>
      <c r="G1581"/>
      <c r="H1581"/>
      <c r="I1581"/>
      <c r="J1581"/>
    </row>
    <row r="1582" spans="1:10" x14ac:dyDescent="0.25">
      <c r="A1582"/>
      <c r="B1582"/>
      <c r="C1582"/>
      <c r="D1582"/>
      <c r="E1582"/>
      <c r="F1582"/>
      <c r="G1582"/>
      <c r="H1582"/>
      <c r="I1582"/>
      <c r="J1582"/>
    </row>
    <row r="1583" spans="1:10" x14ac:dyDescent="0.25">
      <c r="A1583"/>
      <c r="B1583"/>
      <c r="C1583"/>
      <c r="D1583"/>
      <c r="E1583"/>
      <c r="F1583"/>
      <c r="G1583"/>
      <c r="H1583"/>
      <c r="I1583"/>
      <c r="J1583"/>
    </row>
    <row r="1584" spans="1:10" x14ac:dyDescent="0.25">
      <c r="A1584"/>
      <c r="B1584"/>
      <c r="C1584"/>
      <c r="D1584"/>
      <c r="E1584"/>
      <c r="F1584"/>
      <c r="G1584"/>
      <c r="H1584"/>
      <c r="I1584"/>
      <c r="J1584"/>
    </row>
    <row r="1585" spans="1:10" x14ac:dyDescent="0.25">
      <c r="A1585"/>
      <c r="B1585"/>
      <c r="C1585"/>
      <c r="D1585"/>
      <c r="E1585"/>
      <c r="F1585"/>
      <c r="G1585"/>
      <c r="H1585"/>
      <c r="I1585"/>
      <c r="J1585"/>
    </row>
    <row r="1586" spans="1:10" x14ac:dyDescent="0.25">
      <c r="A1586"/>
      <c r="B1586"/>
      <c r="C1586"/>
      <c r="D1586"/>
      <c r="E1586"/>
      <c r="F1586"/>
      <c r="G1586"/>
      <c r="H1586"/>
      <c r="I1586"/>
      <c r="J1586"/>
    </row>
    <row r="1587" spans="1:10" x14ac:dyDescent="0.25">
      <c r="A1587"/>
      <c r="B1587"/>
      <c r="C1587"/>
      <c r="D1587"/>
      <c r="E1587"/>
      <c r="F1587"/>
      <c r="G1587"/>
      <c r="H1587"/>
      <c r="I1587"/>
      <c r="J1587"/>
    </row>
    <row r="1588" spans="1:10" x14ac:dyDescent="0.25">
      <c r="A1588"/>
      <c r="B1588"/>
      <c r="C1588"/>
      <c r="D1588"/>
      <c r="E1588"/>
      <c r="F1588"/>
      <c r="G1588"/>
      <c r="H1588"/>
      <c r="I1588"/>
      <c r="J1588"/>
    </row>
    <row r="1589" spans="1:10" x14ac:dyDescent="0.25">
      <c r="A1589"/>
      <c r="B1589"/>
      <c r="C1589"/>
      <c r="D1589"/>
      <c r="E1589"/>
      <c r="F1589"/>
      <c r="G1589"/>
      <c r="H1589"/>
      <c r="I1589"/>
      <c r="J1589"/>
    </row>
    <row r="1590" spans="1:10" x14ac:dyDescent="0.25">
      <c r="A1590"/>
      <c r="B1590"/>
      <c r="C1590"/>
      <c r="D1590"/>
      <c r="E1590"/>
      <c r="F1590"/>
      <c r="G1590"/>
      <c r="H1590"/>
      <c r="I1590"/>
      <c r="J1590"/>
    </row>
    <row r="1591" spans="1:10" x14ac:dyDescent="0.25">
      <c r="A1591"/>
      <c r="B1591"/>
      <c r="C1591"/>
      <c r="D1591"/>
      <c r="E1591"/>
      <c r="F1591"/>
      <c r="G1591"/>
      <c r="H1591"/>
      <c r="I1591"/>
      <c r="J1591"/>
    </row>
    <row r="1592" spans="1:10" x14ac:dyDescent="0.25">
      <c r="A1592"/>
      <c r="B1592"/>
      <c r="C1592"/>
      <c r="D1592"/>
      <c r="E1592"/>
      <c r="F1592"/>
      <c r="G1592"/>
      <c r="H1592"/>
      <c r="I1592"/>
      <c r="J1592"/>
    </row>
    <row r="1593" spans="1:10" x14ac:dyDescent="0.25">
      <c r="A1593"/>
      <c r="B1593"/>
      <c r="C1593"/>
      <c r="D1593"/>
      <c r="E1593"/>
      <c r="F1593"/>
      <c r="G1593"/>
      <c r="H1593"/>
      <c r="I1593"/>
      <c r="J1593"/>
    </row>
    <row r="1594" spans="1:10" x14ac:dyDescent="0.25">
      <c r="A1594"/>
      <c r="B1594"/>
      <c r="C1594"/>
      <c r="D1594"/>
      <c r="E1594"/>
      <c r="F1594"/>
      <c r="G1594"/>
      <c r="H1594"/>
      <c r="I1594"/>
      <c r="J1594"/>
    </row>
    <row r="1595" spans="1:10" x14ac:dyDescent="0.25">
      <c r="A1595"/>
      <c r="B1595"/>
      <c r="C1595"/>
      <c r="D1595"/>
      <c r="E1595"/>
      <c r="F1595"/>
      <c r="G1595"/>
      <c r="H1595"/>
      <c r="I1595"/>
      <c r="J1595"/>
    </row>
    <row r="1596" spans="1:10" x14ac:dyDescent="0.25">
      <c r="A1596"/>
      <c r="B1596"/>
      <c r="C1596"/>
      <c r="D1596"/>
      <c r="E1596"/>
      <c r="F1596"/>
      <c r="G1596"/>
      <c r="H1596"/>
      <c r="I1596"/>
      <c r="J1596"/>
    </row>
    <row r="1597" spans="1:10" x14ac:dyDescent="0.25">
      <c r="A1597"/>
      <c r="B1597"/>
      <c r="C1597"/>
      <c r="D1597"/>
      <c r="E1597"/>
      <c r="F1597"/>
      <c r="G1597"/>
      <c r="H1597"/>
      <c r="I1597"/>
      <c r="J1597"/>
    </row>
    <row r="1598" spans="1:10" x14ac:dyDescent="0.25">
      <c r="A1598"/>
      <c r="B1598"/>
      <c r="C1598"/>
      <c r="D1598"/>
      <c r="E1598"/>
      <c r="F1598"/>
      <c r="G1598"/>
      <c r="H1598"/>
      <c r="I1598"/>
      <c r="J1598"/>
    </row>
    <row r="1599" spans="1:10" x14ac:dyDescent="0.25">
      <c r="A1599"/>
      <c r="B1599"/>
      <c r="C1599"/>
      <c r="D1599"/>
      <c r="E1599"/>
      <c r="F1599"/>
      <c r="G1599"/>
      <c r="H1599"/>
      <c r="I1599"/>
      <c r="J1599"/>
    </row>
    <row r="1600" spans="1:10" x14ac:dyDescent="0.25">
      <c r="A1600"/>
      <c r="B1600"/>
      <c r="C1600"/>
      <c r="D1600"/>
      <c r="E1600"/>
      <c r="F1600"/>
      <c r="G1600"/>
      <c r="H1600"/>
      <c r="I1600"/>
      <c r="J1600"/>
    </row>
    <row r="1601" spans="1:10" x14ac:dyDescent="0.25">
      <c r="A1601"/>
      <c r="B1601"/>
      <c r="C1601"/>
      <c r="D1601"/>
      <c r="E1601"/>
      <c r="F1601"/>
      <c r="G1601"/>
      <c r="H1601"/>
      <c r="I1601"/>
      <c r="J1601"/>
    </row>
    <row r="1602" spans="1:10" x14ac:dyDescent="0.25">
      <c r="A1602"/>
      <c r="B1602"/>
      <c r="C1602"/>
      <c r="D1602"/>
      <c r="E1602"/>
      <c r="F1602"/>
      <c r="G1602"/>
      <c r="H1602"/>
      <c r="I1602"/>
      <c r="J1602"/>
    </row>
    <row r="1603" spans="1:10" x14ac:dyDescent="0.25">
      <c r="A1603"/>
      <c r="B1603"/>
      <c r="C1603"/>
      <c r="D1603"/>
      <c r="E1603"/>
      <c r="F1603"/>
      <c r="G1603"/>
      <c r="H1603"/>
      <c r="I1603"/>
      <c r="J1603"/>
    </row>
    <row r="1604" spans="1:10" x14ac:dyDescent="0.25">
      <c r="A1604"/>
      <c r="B1604"/>
      <c r="C1604"/>
      <c r="D1604"/>
      <c r="E1604"/>
      <c r="F1604"/>
      <c r="G1604"/>
      <c r="H1604"/>
      <c r="I1604"/>
      <c r="J1604"/>
    </row>
    <row r="1605" spans="1:10" x14ac:dyDescent="0.25">
      <c r="A1605"/>
      <c r="B1605"/>
      <c r="C1605"/>
      <c r="D1605"/>
      <c r="E1605"/>
      <c r="F1605"/>
      <c r="G1605"/>
      <c r="H1605"/>
      <c r="I1605"/>
      <c r="J1605"/>
    </row>
    <row r="1606" spans="1:10" x14ac:dyDescent="0.25">
      <c r="A1606"/>
      <c r="B1606"/>
      <c r="C1606"/>
      <c r="D1606"/>
      <c r="E1606"/>
      <c r="F1606"/>
      <c r="G1606"/>
      <c r="H1606"/>
      <c r="I1606"/>
      <c r="J1606"/>
    </row>
    <row r="1607" spans="1:10" x14ac:dyDescent="0.25">
      <c r="A1607"/>
      <c r="B1607"/>
      <c r="C1607"/>
      <c r="D1607"/>
      <c r="E1607"/>
      <c r="F1607"/>
      <c r="G1607"/>
      <c r="H1607"/>
      <c r="I1607"/>
      <c r="J1607"/>
    </row>
    <row r="1608" spans="1:10" x14ac:dyDescent="0.25">
      <c r="A1608"/>
      <c r="B1608"/>
      <c r="C1608"/>
      <c r="D1608"/>
      <c r="E1608"/>
      <c r="F1608"/>
      <c r="G1608"/>
      <c r="H1608"/>
      <c r="I1608"/>
      <c r="J1608"/>
    </row>
    <row r="1609" spans="1:10" x14ac:dyDescent="0.25">
      <c r="A1609"/>
      <c r="B1609"/>
      <c r="C1609"/>
      <c r="D1609"/>
      <c r="E1609"/>
      <c r="F1609"/>
      <c r="G1609"/>
      <c r="H1609"/>
      <c r="I1609"/>
      <c r="J1609"/>
    </row>
    <row r="1610" spans="1:10" x14ac:dyDescent="0.25">
      <c r="A1610"/>
      <c r="B1610"/>
      <c r="C1610"/>
      <c r="D1610"/>
      <c r="E1610"/>
      <c r="F1610"/>
      <c r="G1610"/>
      <c r="H1610"/>
      <c r="I1610"/>
      <c r="J1610"/>
    </row>
    <row r="1611" spans="1:10" x14ac:dyDescent="0.25">
      <c r="A1611"/>
      <c r="B1611"/>
      <c r="C1611"/>
      <c r="D1611"/>
      <c r="E1611"/>
      <c r="F1611"/>
      <c r="G1611"/>
      <c r="H1611"/>
      <c r="I1611"/>
      <c r="J1611"/>
    </row>
    <row r="1612" spans="1:10" x14ac:dyDescent="0.25">
      <c r="A1612"/>
      <c r="B1612"/>
      <c r="C1612"/>
      <c r="D1612"/>
      <c r="E1612"/>
      <c r="F1612"/>
      <c r="G1612"/>
      <c r="H1612"/>
      <c r="I1612"/>
      <c r="J1612"/>
    </row>
    <row r="1613" spans="1:10" x14ac:dyDescent="0.25">
      <c r="A1613"/>
      <c r="B1613"/>
      <c r="C1613"/>
      <c r="D1613"/>
      <c r="E1613"/>
      <c r="F1613"/>
      <c r="G1613"/>
      <c r="H1613"/>
      <c r="I1613"/>
      <c r="J1613"/>
    </row>
    <row r="1614" spans="1:10" x14ac:dyDescent="0.25">
      <c r="A1614"/>
      <c r="B1614"/>
      <c r="C1614"/>
      <c r="D1614"/>
      <c r="E1614"/>
      <c r="F1614"/>
      <c r="G1614"/>
      <c r="H1614"/>
      <c r="I1614"/>
      <c r="J1614"/>
    </row>
    <row r="1615" spans="1:10" x14ac:dyDescent="0.25">
      <c r="A1615"/>
      <c r="B1615"/>
      <c r="C1615"/>
      <c r="D1615"/>
      <c r="E1615"/>
      <c r="F1615"/>
      <c r="G1615"/>
      <c r="H1615"/>
      <c r="I1615"/>
      <c r="J1615"/>
    </row>
    <row r="1616" spans="1:10" x14ac:dyDescent="0.25">
      <c r="A1616"/>
      <c r="B1616"/>
      <c r="C1616"/>
      <c r="D1616"/>
      <c r="E1616"/>
      <c r="F1616"/>
      <c r="G1616"/>
      <c r="H1616"/>
      <c r="I1616"/>
      <c r="J1616"/>
    </row>
    <row r="1617" spans="1:10" x14ac:dyDescent="0.25">
      <c r="A1617"/>
      <c r="B1617"/>
      <c r="C1617"/>
      <c r="D1617"/>
      <c r="E1617"/>
      <c r="F1617"/>
      <c r="G1617"/>
      <c r="H1617"/>
      <c r="I1617"/>
      <c r="J1617"/>
    </row>
    <row r="1618" spans="1:10" x14ac:dyDescent="0.25">
      <c r="A1618"/>
      <c r="B1618"/>
      <c r="C1618"/>
      <c r="D1618"/>
      <c r="E1618"/>
      <c r="F1618"/>
      <c r="G1618"/>
      <c r="H1618"/>
      <c r="I1618"/>
      <c r="J1618"/>
    </row>
    <row r="1619" spans="1:10" x14ac:dyDescent="0.25">
      <c r="A1619"/>
      <c r="B1619"/>
      <c r="C1619"/>
      <c r="D1619"/>
      <c r="E1619"/>
      <c r="F1619"/>
      <c r="G1619"/>
      <c r="H1619"/>
      <c r="I1619"/>
      <c r="J1619"/>
    </row>
    <row r="1620" spans="1:10" x14ac:dyDescent="0.25">
      <c r="A1620"/>
      <c r="B1620"/>
      <c r="C1620"/>
      <c r="D1620"/>
      <c r="E1620"/>
      <c r="F1620"/>
      <c r="G1620"/>
      <c r="H1620"/>
      <c r="I1620"/>
      <c r="J1620"/>
    </row>
    <row r="1621" spans="1:10" x14ac:dyDescent="0.25">
      <c r="A1621"/>
      <c r="B1621"/>
      <c r="C1621"/>
      <c r="D1621"/>
      <c r="E1621"/>
      <c r="F1621"/>
      <c r="G1621"/>
      <c r="H1621"/>
      <c r="I1621"/>
      <c r="J1621"/>
    </row>
    <row r="1622" spans="1:10" x14ac:dyDescent="0.25">
      <c r="A1622"/>
      <c r="B1622"/>
      <c r="C1622"/>
      <c r="D1622"/>
      <c r="E1622"/>
      <c r="F1622"/>
      <c r="G1622"/>
      <c r="H1622"/>
      <c r="I1622"/>
      <c r="J1622"/>
    </row>
    <row r="1623" spans="1:10" x14ac:dyDescent="0.25">
      <c r="A1623"/>
      <c r="B1623"/>
      <c r="C1623"/>
      <c r="D1623"/>
      <c r="E1623"/>
      <c r="F1623"/>
      <c r="G1623"/>
      <c r="H1623"/>
      <c r="I1623"/>
      <c r="J1623"/>
    </row>
    <row r="1624" spans="1:10" x14ac:dyDescent="0.25">
      <c r="A1624"/>
      <c r="B1624"/>
      <c r="C1624"/>
      <c r="D1624"/>
      <c r="E1624"/>
      <c r="F1624"/>
      <c r="G1624"/>
      <c r="H1624"/>
      <c r="I1624"/>
      <c r="J1624"/>
    </row>
    <row r="1625" spans="1:10" x14ac:dyDescent="0.25">
      <c r="A1625"/>
      <c r="B1625"/>
      <c r="C1625"/>
      <c r="D1625"/>
      <c r="E1625"/>
      <c r="F1625"/>
      <c r="G1625"/>
      <c r="H1625"/>
      <c r="I1625"/>
      <c r="J1625"/>
    </row>
    <row r="1626" spans="1:10" x14ac:dyDescent="0.25">
      <c r="A1626"/>
      <c r="B1626"/>
      <c r="C1626"/>
      <c r="D1626"/>
      <c r="E1626"/>
      <c r="F1626"/>
      <c r="G1626"/>
      <c r="H1626"/>
      <c r="I1626"/>
      <c r="J1626"/>
    </row>
    <row r="1627" spans="1:10" x14ac:dyDescent="0.25">
      <c r="A1627"/>
      <c r="B1627"/>
      <c r="C1627"/>
      <c r="D1627"/>
      <c r="E1627"/>
      <c r="F1627"/>
      <c r="G1627"/>
      <c r="H1627"/>
      <c r="I1627"/>
      <c r="J1627"/>
    </row>
    <row r="1628" spans="1:10" x14ac:dyDescent="0.25">
      <c r="A1628"/>
      <c r="B1628"/>
      <c r="C1628"/>
      <c r="D1628"/>
      <c r="E1628"/>
      <c r="F1628"/>
      <c r="G1628"/>
      <c r="H1628"/>
      <c r="I1628"/>
      <c r="J1628"/>
    </row>
    <row r="1629" spans="1:10" x14ac:dyDescent="0.25">
      <c r="A1629"/>
      <c r="B1629"/>
      <c r="C1629"/>
      <c r="D1629"/>
      <c r="E1629"/>
      <c r="F1629"/>
      <c r="G1629"/>
      <c r="H1629"/>
      <c r="I1629"/>
      <c r="J1629"/>
    </row>
    <row r="1630" spans="1:10" x14ac:dyDescent="0.25">
      <c r="A1630"/>
      <c r="B1630"/>
      <c r="C1630"/>
      <c r="D1630"/>
      <c r="E1630"/>
      <c r="F1630"/>
      <c r="G1630"/>
      <c r="H1630"/>
      <c r="I1630"/>
      <c r="J1630"/>
    </row>
    <row r="1631" spans="1:10" x14ac:dyDescent="0.25">
      <c r="A1631"/>
      <c r="B1631"/>
      <c r="C1631"/>
      <c r="D1631"/>
      <c r="E1631"/>
      <c r="F1631"/>
      <c r="G1631"/>
      <c r="H1631"/>
      <c r="I1631"/>
      <c r="J1631"/>
    </row>
    <row r="1632" spans="1:10" x14ac:dyDescent="0.25">
      <c r="A1632"/>
      <c r="B1632"/>
      <c r="C1632"/>
      <c r="D1632"/>
      <c r="E1632"/>
      <c r="F1632"/>
      <c r="G1632"/>
      <c r="H1632"/>
      <c r="I1632"/>
      <c r="J1632"/>
    </row>
    <row r="1633" spans="1:10" x14ac:dyDescent="0.25">
      <c r="A1633"/>
      <c r="B1633"/>
      <c r="C1633"/>
      <c r="D1633"/>
      <c r="E1633"/>
      <c r="F1633"/>
      <c r="G1633"/>
      <c r="H1633"/>
      <c r="I1633"/>
      <c r="J1633"/>
    </row>
    <row r="1634" spans="1:10" x14ac:dyDescent="0.25">
      <c r="A1634"/>
      <c r="B1634"/>
      <c r="C1634"/>
      <c r="D1634"/>
      <c r="E1634"/>
      <c r="F1634"/>
      <c r="G1634"/>
      <c r="H1634"/>
      <c r="I1634"/>
      <c r="J1634"/>
    </row>
    <row r="1635" spans="1:10" x14ac:dyDescent="0.25">
      <c r="A1635"/>
      <c r="B1635"/>
      <c r="C1635"/>
      <c r="D1635"/>
      <c r="E1635"/>
      <c r="F1635"/>
      <c r="G1635"/>
      <c r="H1635"/>
      <c r="I1635"/>
      <c r="J1635"/>
    </row>
    <row r="1636" spans="1:10" x14ac:dyDescent="0.25">
      <c r="A1636"/>
      <c r="B1636"/>
      <c r="C1636"/>
      <c r="D1636"/>
      <c r="E1636"/>
      <c r="F1636"/>
      <c r="G1636"/>
      <c r="H1636"/>
      <c r="I1636"/>
      <c r="J1636"/>
    </row>
    <row r="1637" spans="1:10" x14ac:dyDescent="0.25">
      <c r="A1637"/>
      <c r="B1637"/>
      <c r="C1637"/>
      <c r="D1637"/>
      <c r="E1637"/>
      <c r="F1637"/>
      <c r="G1637"/>
      <c r="H1637"/>
      <c r="I1637"/>
      <c r="J1637"/>
    </row>
    <row r="1638" spans="1:10" x14ac:dyDescent="0.25">
      <c r="A1638"/>
      <c r="B1638"/>
      <c r="C1638"/>
      <c r="D1638"/>
      <c r="E1638"/>
      <c r="F1638"/>
      <c r="G1638"/>
      <c r="H1638"/>
      <c r="I1638"/>
      <c r="J1638"/>
    </row>
    <row r="1639" spans="1:10" x14ac:dyDescent="0.25">
      <c r="A1639"/>
      <c r="B1639"/>
      <c r="C1639"/>
      <c r="D1639"/>
      <c r="E1639"/>
      <c r="F1639"/>
      <c r="G1639"/>
      <c r="H1639"/>
      <c r="I1639"/>
      <c r="J1639"/>
    </row>
    <row r="1640" spans="1:10" x14ac:dyDescent="0.25">
      <c r="A1640"/>
      <c r="B1640"/>
      <c r="C1640"/>
      <c r="D1640"/>
      <c r="E1640"/>
      <c r="F1640"/>
      <c r="G1640"/>
      <c r="H1640"/>
      <c r="I1640"/>
      <c r="J1640"/>
    </row>
    <row r="1641" spans="1:10" x14ac:dyDescent="0.25">
      <c r="A1641"/>
      <c r="B1641"/>
      <c r="C1641"/>
      <c r="D1641"/>
      <c r="E1641"/>
      <c r="F1641"/>
      <c r="G1641"/>
      <c r="H1641"/>
      <c r="I1641"/>
      <c r="J1641"/>
    </row>
    <row r="1642" spans="1:10" x14ac:dyDescent="0.25">
      <c r="A1642"/>
      <c r="B1642"/>
      <c r="C1642"/>
      <c r="D1642"/>
      <c r="E1642"/>
      <c r="F1642"/>
      <c r="G1642"/>
      <c r="H1642"/>
      <c r="I1642"/>
      <c r="J1642"/>
    </row>
    <row r="1643" spans="1:10" x14ac:dyDescent="0.25">
      <c r="A1643"/>
      <c r="B1643"/>
      <c r="C1643"/>
      <c r="D1643"/>
      <c r="E1643"/>
      <c r="F1643"/>
      <c r="G1643"/>
      <c r="H1643"/>
      <c r="I1643"/>
      <c r="J1643"/>
    </row>
    <row r="1644" spans="1:10" x14ac:dyDescent="0.25">
      <c r="A1644"/>
      <c r="B1644"/>
      <c r="C1644"/>
      <c r="D1644"/>
      <c r="E1644"/>
      <c r="F1644"/>
      <c r="G1644"/>
      <c r="H1644"/>
      <c r="I1644"/>
      <c r="J1644"/>
    </row>
    <row r="1645" spans="1:10" x14ac:dyDescent="0.25">
      <c r="A1645"/>
      <c r="B1645"/>
      <c r="C1645"/>
      <c r="D1645"/>
      <c r="E1645"/>
      <c r="F1645"/>
      <c r="G1645"/>
      <c r="H1645"/>
      <c r="I1645"/>
      <c r="J1645"/>
    </row>
    <row r="1646" spans="1:10" x14ac:dyDescent="0.25">
      <c r="A1646"/>
      <c r="B1646"/>
      <c r="C1646"/>
      <c r="D1646"/>
      <c r="E1646"/>
      <c r="F1646"/>
      <c r="G1646"/>
      <c r="H1646"/>
      <c r="I1646"/>
      <c r="J1646"/>
    </row>
    <row r="1647" spans="1:10" x14ac:dyDescent="0.25">
      <c r="A1647"/>
      <c r="B1647"/>
      <c r="C1647"/>
      <c r="D1647"/>
      <c r="E1647"/>
      <c r="F1647"/>
      <c r="G1647"/>
      <c r="H1647"/>
      <c r="I1647"/>
      <c r="J1647"/>
    </row>
    <row r="1648" spans="1:10" x14ac:dyDescent="0.25">
      <c r="A1648"/>
      <c r="B1648"/>
      <c r="C1648"/>
      <c r="D1648"/>
      <c r="E1648"/>
      <c r="F1648"/>
      <c r="G1648"/>
      <c r="H1648"/>
      <c r="I1648"/>
      <c r="J1648"/>
    </row>
    <row r="1649" spans="1:10" x14ac:dyDescent="0.25">
      <c r="A1649"/>
      <c r="B1649"/>
      <c r="C1649"/>
      <c r="D1649"/>
      <c r="E1649"/>
      <c r="F1649"/>
      <c r="G1649"/>
      <c r="H1649"/>
      <c r="I1649"/>
      <c r="J1649"/>
    </row>
    <row r="1650" spans="1:10" x14ac:dyDescent="0.25">
      <c r="A1650"/>
      <c r="B1650"/>
      <c r="C1650"/>
      <c r="D1650"/>
      <c r="E1650"/>
      <c r="F1650"/>
      <c r="G1650"/>
      <c r="H1650"/>
      <c r="I1650"/>
      <c r="J1650"/>
    </row>
    <row r="1651" spans="1:10" x14ac:dyDescent="0.25">
      <c r="A1651"/>
      <c r="B1651"/>
      <c r="C1651"/>
      <c r="D1651"/>
      <c r="E1651"/>
      <c r="F1651"/>
      <c r="G1651"/>
      <c r="H1651"/>
      <c r="I1651"/>
      <c r="J1651"/>
    </row>
    <row r="1652" spans="1:10" x14ac:dyDescent="0.25">
      <c r="A1652"/>
      <c r="B1652"/>
      <c r="C1652"/>
      <c r="D1652"/>
      <c r="E1652"/>
      <c r="F1652"/>
      <c r="G1652"/>
      <c r="H1652"/>
      <c r="I1652"/>
      <c r="J1652"/>
    </row>
    <row r="1653" spans="1:10" x14ac:dyDescent="0.25">
      <c r="A1653"/>
      <c r="B1653"/>
      <c r="C1653"/>
      <c r="D1653"/>
      <c r="E1653"/>
      <c r="F1653"/>
      <c r="G1653"/>
      <c r="H1653"/>
      <c r="I1653"/>
      <c r="J1653"/>
    </row>
    <row r="1654" spans="1:10" x14ac:dyDescent="0.25">
      <c r="A1654"/>
      <c r="B1654"/>
      <c r="C1654"/>
      <c r="D1654"/>
      <c r="E1654"/>
      <c r="F1654"/>
      <c r="G1654"/>
      <c r="H1654"/>
      <c r="I1654"/>
      <c r="J1654"/>
    </row>
    <row r="1655" spans="1:10" x14ac:dyDescent="0.25">
      <c r="A1655"/>
      <c r="B1655"/>
      <c r="C1655"/>
      <c r="D1655"/>
      <c r="E1655"/>
      <c r="F1655"/>
      <c r="G1655"/>
      <c r="H1655"/>
      <c r="I1655"/>
      <c r="J1655"/>
    </row>
    <row r="1656" spans="1:10" x14ac:dyDescent="0.25">
      <c r="A1656"/>
      <c r="B1656"/>
      <c r="C1656"/>
      <c r="D1656"/>
      <c r="E1656"/>
      <c r="F1656"/>
      <c r="G1656"/>
      <c r="H1656"/>
      <c r="I1656"/>
      <c r="J1656"/>
    </row>
    <row r="1657" spans="1:10" x14ac:dyDescent="0.25">
      <c r="A1657"/>
      <c r="B1657"/>
      <c r="C1657"/>
      <c r="D1657"/>
      <c r="E1657"/>
      <c r="F1657"/>
      <c r="G1657"/>
      <c r="H1657"/>
      <c r="I1657"/>
      <c r="J1657"/>
    </row>
    <row r="1658" spans="1:10" x14ac:dyDescent="0.25">
      <c r="A1658"/>
      <c r="B1658"/>
      <c r="C1658"/>
      <c r="D1658"/>
      <c r="E1658"/>
      <c r="F1658"/>
      <c r="G1658"/>
      <c r="H1658"/>
      <c r="I1658"/>
      <c r="J1658"/>
    </row>
    <row r="1659" spans="1:10" x14ac:dyDescent="0.25">
      <c r="A1659"/>
      <c r="B1659"/>
      <c r="C1659"/>
      <c r="D1659"/>
      <c r="E1659"/>
      <c r="F1659"/>
      <c r="G1659"/>
      <c r="H1659"/>
      <c r="I1659"/>
      <c r="J1659"/>
    </row>
    <row r="1660" spans="1:10" x14ac:dyDescent="0.25">
      <c r="A1660"/>
      <c r="B1660"/>
      <c r="C1660"/>
      <c r="D1660"/>
      <c r="E1660"/>
      <c r="F1660"/>
      <c r="G1660"/>
      <c r="H1660"/>
      <c r="I1660"/>
      <c r="J1660"/>
    </row>
    <row r="1661" spans="1:10" x14ac:dyDescent="0.25">
      <c r="A1661"/>
      <c r="B1661"/>
      <c r="C1661"/>
      <c r="D1661"/>
      <c r="E1661"/>
      <c r="F1661"/>
      <c r="G1661"/>
      <c r="H1661"/>
      <c r="I1661"/>
      <c r="J1661"/>
    </row>
    <row r="1662" spans="1:10" x14ac:dyDescent="0.25">
      <c r="A1662"/>
      <c r="B1662"/>
      <c r="C1662"/>
      <c r="D1662"/>
      <c r="E1662"/>
      <c r="F1662"/>
      <c r="G1662"/>
      <c r="H1662"/>
      <c r="I1662"/>
      <c r="J1662"/>
    </row>
    <row r="1663" spans="1:10" x14ac:dyDescent="0.25">
      <c r="A1663"/>
      <c r="B1663"/>
      <c r="C1663"/>
      <c r="D1663"/>
      <c r="E1663"/>
      <c r="F1663"/>
      <c r="G1663"/>
      <c r="H1663"/>
      <c r="I1663"/>
      <c r="J1663"/>
    </row>
    <row r="1664" spans="1:10" x14ac:dyDescent="0.25">
      <c r="A1664"/>
      <c r="B1664"/>
      <c r="C1664"/>
      <c r="D1664"/>
      <c r="E1664"/>
      <c r="F1664"/>
      <c r="G1664"/>
      <c r="H1664"/>
      <c r="I1664"/>
      <c r="J1664"/>
    </row>
    <row r="1665" spans="1:10" x14ac:dyDescent="0.25">
      <c r="A1665"/>
      <c r="B1665"/>
      <c r="C1665"/>
      <c r="D1665"/>
      <c r="E1665"/>
      <c r="F1665"/>
      <c r="G1665"/>
      <c r="H1665"/>
      <c r="I1665"/>
      <c r="J1665"/>
    </row>
    <row r="1666" spans="1:10" x14ac:dyDescent="0.25">
      <c r="A1666"/>
      <c r="B1666"/>
      <c r="C1666"/>
      <c r="D1666"/>
      <c r="E1666"/>
      <c r="F1666"/>
      <c r="G1666"/>
      <c r="H1666"/>
      <c r="I1666"/>
      <c r="J1666"/>
    </row>
    <row r="1667" spans="1:10" x14ac:dyDescent="0.25">
      <c r="A1667"/>
      <c r="B1667"/>
      <c r="C1667"/>
      <c r="D1667"/>
      <c r="E1667"/>
      <c r="F1667"/>
      <c r="G1667"/>
      <c r="H1667"/>
      <c r="I1667"/>
      <c r="J1667"/>
    </row>
    <row r="1668" spans="1:10" x14ac:dyDescent="0.25">
      <c r="A1668"/>
      <c r="B1668"/>
      <c r="C1668"/>
      <c r="D1668"/>
      <c r="E1668"/>
      <c r="F1668"/>
      <c r="G1668"/>
      <c r="H1668"/>
      <c r="I1668"/>
      <c r="J1668"/>
    </row>
    <row r="1669" spans="1:10" x14ac:dyDescent="0.25">
      <c r="A1669"/>
      <c r="B1669"/>
      <c r="C1669"/>
      <c r="D1669"/>
      <c r="E1669"/>
      <c r="F1669"/>
      <c r="G1669"/>
      <c r="H1669"/>
      <c r="I1669"/>
      <c r="J1669"/>
    </row>
    <row r="1670" spans="1:10" x14ac:dyDescent="0.25">
      <c r="A1670"/>
      <c r="B1670"/>
      <c r="C1670"/>
      <c r="D1670"/>
      <c r="E1670"/>
      <c r="F1670"/>
      <c r="G1670"/>
      <c r="H1670"/>
      <c r="I1670"/>
      <c r="J1670"/>
    </row>
    <row r="1671" spans="1:10" x14ac:dyDescent="0.25">
      <c r="A1671"/>
      <c r="B1671"/>
      <c r="C1671"/>
      <c r="D1671"/>
      <c r="E1671"/>
      <c r="F1671"/>
      <c r="G1671"/>
      <c r="H1671"/>
      <c r="I1671"/>
      <c r="J1671"/>
    </row>
    <row r="1672" spans="1:10" x14ac:dyDescent="0.25">
      <c r="A1672"/>
      <c r="B1672"/>
      <c r="C1672"/>
      <c r="D1672"/>
      <c r="E1672"/>
      <c r="F1672"/>
      <c r="G1672"/>
      <c r="H1672"/>
      <c r="I1672"/>
      <c r="J1672"/>
    </row>
    <row r="1673" spans="1:10" x14ac:dyDescent="0.25">
      <c r="A1673"/>
      <c r="B1673"/>
      <c r="C1673"/>
      <c r="D1673"/>
      <c r="E1673"/>
      <c r="F1673"/>
      <c r="G1673"/>
      <c r="H1673"/>
      <c r="I1673"/>
      <c r="J1673"/>
    </row>
    <row r="1674" spans="1:10" x14ac:dyDescent="0.25">
      <c r="A1674"/>
      <c r="B1674"/>
      <c r="C1674"/>
      <c r="D1674"/>
      <c r="E1674"/>
      <c r="F1674"/>
      <c r="G1674"/>
      <c r="H1674"/>
      <c r="I1674"/>
      <c r="J1674"/>
    </row>
    <row r="1675" spans="1:10" x14ac:dyDescent="0.25">
      <c r="A1675"/>
      <c r="B1675"/>
      <c r="C1675"/>
      <c r="D1675"/>
      <c r="E1675"/>
      <c r="F1675"/>
      <c r="G1675"/>
      <c r="H1675"/>
      <c r="I1675"/>
      <c r="J1675"/>
    </row>
    <row r="1676" spans="1:10" x14ac:dyDescent="0.25">
      <c r="A1676"/>
      <c r="B1676"/>
      <c r="C1676"/>
      <c r="D1676"/>
      <c r="E1676"/>
      <c r="F1676"/>
      <c r="G1676"/>
      <c r="H1676"/>
      <c r="I1676"/>
      <c r="J1676"/>
    </row>
    <row r="1677" spans="1:10" x14ac:dyDescent="0.25">
      <c r="A1677"/>
      <c r="B1677"/>
      <c r="C1677"/>
      <c r="D1677"/>
      <c r="E1677"/>
      <c r="F1677"/>
      <c r="G1677"/>
      <c r="H1677"/>
      <c r="I1677"/>
      <c r="J1677"/>
    </row>
    <row r="1678" spans="1:10" x14ac:dyDescent="0.25">
      <c r="A1678"/>
      <c r="B1678"/>
      <c r="C1678"/>
      <c r="D1678"/>
      <c r="E1678"/>
      <c r="F1678"/>
      <c r="G1678"/>
      <c r="H1678"/>
      <c r="I1678"/>
      <c r="J1678"/>
    </row>
    <row r="1679" spans="1:10" x14ac:dyDescent="0.25">
      <c r="A1679"/>
      <c r="B1679"/>
      <c r="C1679"/>
      <c r="D1679"/>
      <c r="E1679"/>
      <c r="F1679"/>
      <c r="G1679"/>
      <c r="H1679"/>
      <c r="I1679"/>
      <c r="J1679"/>
    </row>
    <row r="1680" spans="1:10" x14ac:dyDescent="0.25">
      <c r="A1680"/>
      <c r="B1680"/>
      <c r="C1680"/>
      <c r="D1680"/>
      <c r="E1680"/>
      <c r="F1680"/>
      <c r="G1680"/>
      <c r="H1680"/>
      <c r="I1680"/>
      <c r="J1680"/>
    </row>
    <row r="1681" spans="1:10" x14ac:dyDescent="0.25">
      <c r="A1681"/>
      <c r="B1681"/>
      <c r="C1681"/>
      <c r="D1681"/>
      <c r="E1681"/>
      <c r="F1681"/>
      <c r="G1681"/>
      <c r="H1681"/>
      <c r="I1681"/>
      <c r="J1681"/>
    </row>
    <row r="1682" spans="1:10" x14ac:dyDescent="0.25">
      <c r="A1682"/>
      <c r="B1682"/>
      <c r="C1682"/>
      <c r="D1682"/>
      <c r="E1682"/>
      <c r="F1682"/>
      <c r="G1682"/>
      <c r="H1682"/>
      <c r="I1682"/>
      <c r="J1682"/>
    </row>
    <row r="1683" spans="1:10" x14ac:dyDescent="0.25">
      <c r="A1683"/>
      <c r="B1683"/>
      <c r="C1683"/>
      <c r="D1683"/>
      <c r="E1683"/>
      <c r="F1683"/>
      <c r="G1683"/>
      <c r="H1683"/>
      <c r="I1683"/>
      <c r="J1683"/>
    </row>
    <row r="1684" spans="1:10" x14ac:dyDescent="0.25">
      <c r="A1684"/>
      <c r="B1684"/>
      <c r="C1684"/>
      <c r="D1684"/>
      <c r="E1684"/>
      <c r="F1684"/>
      <c r="G1684"/>
      <c r="H1684"/>
      <c r="I1684"/>
      <c r="J1684"/>
    </row>
    <row r="1685" spans="1:10" x14ac:dyDescent="0.25">
      <c r="A1685"/>
      <c r="B1685"/>
      <c r="C1685"/>
      <c r="D1685"/>
      <c r="E1685"/>
      <c r="F1685"/>
      <c r="G1685"/>
      <c r="H1685"/>
      <c r="I1685"/>
      <c r="J1685"/>
    </row>
    <row r="1686" spans="1:10" x14ac:dyDescent="0.25">
      <c r="A1686"/>
      <c r="B1686"/>
      <c r="C1686"/>
      <c r="D1686"/>
      <c r="E1686"/>
      <c r="F1686"/>
      <c r="G1686"/>
      <c r="H1686"/>
      <c r="I1686"/>
      <c r="J1686"/>
    </row>
    <row r="1687" spans="1:10" x14ac:dyDescent="0.25">
      <c r="A1687"/>
      <c r="B1687"/>
      <c r="C1687"/>
      <c r="D1687"/>
      <c r="E1687"/>
      <c r="F1687"/>
      <c r="G1687"/>
      <c r="H1687"/>
      <c r="I1687"/>
      <c r="J1687"/>
    </row>
    <row r="1688" spans="1:10" x14ac:dyDescent="0.25">
      <c r="A1688"/>
      <c r="B1688"/>
      <c r="C1688"/>
      <c r="D1688"/>
      <c r="E1688"/>
      <c r="F1688"/>
      <c r="G1688"/>
      <c r="H1688"/>
      <c r="I1688"/>
      <c r="J1688"/>
    </row>
    <row r="1689" spans="1:10" x14ac:dyDescent="0.25">
      <c r="A1689"/>
      <c r="B1689"/>
      <c r="C1689"/>
      <c r="D1689"/>
      <c r="E1689"/>
      <c r="F1689"/>
      <c r="G1689"/>
      <c r="H1689"/>
      <c r="I1689"/>
      <c r="J1689"/>
    </row>
    <row r="1690" spans="1:10" x14ac:dyDescent="0.25">
      <c r="A1690"/>
      <c r="B1690"/>
      <c r="C1690"/>
      <c r="D1690"/>
      <c r="E1690"/>
      <c r="F1690"/>
      <c r="G1690"/>
      <c r="H1690"/>
      <c r="I1690"/>
      <c r="J1690"/>
    </row>
    <row r="1691" spans="1:10" x14ac:dyDescent="0.25">
      <c r="A1691"/>
      <c r="B1691"/>
      <c r="C1691"/>
      <c r="D1691"/>
      <c r="E1691"/>
      <c r="F1691"/>
      <c r="G1691"/>
      <c r="H1691"/>
      <c r="I1691"/>
      <c r="J1691"/>
    </row>
    <row r="1692" spans="1:10" x14ac:dyDescent="0.25">
      <c r="A1692"/>
      <c r="B1692"/>
      <c r="C1692"/>
      <c r="D1692"/>
      <c r="E1692"/>
      <c r="F1692"/>
      <c r="G1692"/>
      <c r="H1692"/>
      <c r="I1692"/>
      <c r="J1692"/>
    </row>
    <row r="1693" spans="1:10" x14ac:dyDescent="0.25">
      <c r="A1693"/>
      <c r="B1693"/>
      <c r="C1693"/>
      <c r="D1693"/>
      <c r="E1693"/>
      <c r="F1693"/>
      <c r="G1693"/>
      <c r="H1693"/>
      <c r="I1693"/>
      <c r="J1693"/>
    </row>
    <row r="1694" spans="1:10" x14ac:dyDescent="0.25">
      <c r="A1694"/>
      <c r="B1694"/>
      <c r="C1694"/>
      <c r="D1694"/>
      <c r="E1694"/>
      <c r="F1694"/>
      <c r="G1694"/>
      <c r="H1694"/>
      <c r="I1694"/>
      <c r="J1694"/>
    </row>
    <row r="1695" spans="1:10" x14ac:dyDescent="0.25">
      <c r="A1695"/>
      <c r="B1695"/>
      <c r="C1695"/>
      <c r="D1695"/>
      <c r="E1695"/>
      <c r="F1695"/>
      <c r="G1695"/>
      <c r="H1695"/>
      <c r="I1695"/>
      <c r="J1695"/>
    </row>
    <row r="1696" spans="1:10" x14ac:dyDescent="0.25">
      <c r="A1696"/>
      <c r="B1696"/>
      <c r="C1696"/>
      <c r="D1696"/>
      <c r="E1696"/>
      <c r="F1696"/>
      <c r="G1696"/>
      <c r="H1696"/>
      <c r="I1696"/>
      <c r="J1696"/>
    </row>
    <row r="1697" spans="1:10" x14ac:dyDescent="0.25">
      <c r="A1697"/>
      <c r="B1697"/>
      <c r="C1697"/>
      <c r="D1697"/>
      <c r="E1697"/>
      <c r="F1697"/>
      <c r="G1697"/>
      <c r="H1697"/>
      <c r="I1697"/>
      <c r="J1697"/>
    </row>
    <row r="1698" spans="1:10" x14ac:dyDescent="0.25">
      <c r="A1698"/>
      <c r="B1698"/>
      <c r="C1698"/>
      <c r="D1698"/>
      <c r="E1698"/>
      <c r="F1698"/>
      <c r="G1698"/>
      <c r="H1698"/>
      <c r="I1698"/>
      <c r="J1698"/>
    </row>
    <row r="1699" spans="1:10" x14ac:dyDescent="0.25">
      <c r="A1699"/>
      <c r="B1699"/>
      <c r="C1699"/>
      <c r="D1699"/>
      <c r="E1699"/>
      <c r="F1699"/>
      <c r="G1699"/>
      <c r="H1699"/>
      <c r="I1699"/>
      <c r="J1699"/>
    </row>
    <row r="1700" spans="1:10" x14ac:dyDescent="0.25">
      <c r="A1700"/>
      <c r="B1700"/>
      <c r="C1700"/>
      <c r="D1700"/>
      <c r="E1700"/>
      <c r="F1700"/>
      <c r="G1700"/>
      <c r="H1700"/>
      <c r="I1700"/>
      <c r="J1700"/>
    </row>
    <row r="1701" spans="1:10" x14ac:dyDescent="0.25">
      <c r="A1701"/>
      <c r="B1701"/>
      <c r="C1701"/>
      <c r="D1701"/>
      <c r="E1701"/>
      <c r="F1701"/>
      <c r="G1701"/>
      <c r="H1701"/>
      <c r="I1701"/>
      <c r="J1701"/>
    </row>
    <row r="1702" spans="1:10" x14ac:dyDescent="0.25">
      <c r="A1702"/>
      <c r="B1702"/>
      <c r="C1702"/>
      <c r="D1702"/>
      <c r="E1702"/>
      <c r="F1702"/>
      <c r="G1702"/>
      <c r="H1702"/>
      <c r="I1702"/>
      <c r="J1702"/>
    </row>
    <row r="1703" spans="1:10" x14ac:dyDescent="0.25">
      <c r="A1703"/>
      <c r="B1703"/>
      <c r="C1703"/>
      <c r="D1703"/>
      <c r="E1703"/>
      <c r="F1703"/>
      <c r="G1703"/>
      <c r="H1703"/>
      <c r="I1703"/>
      <c r="J1703"/>
    </row>
    <row r="1704" spans="1:10" x14ac:dyDescent="0.25">
      <c r="A1704"/>
      <c r="B1704"/>
      <c r="C1704"/>
      <c r="D1704"/>
      <c r="E1704"/>
      <c r="F1704"/>
      <c r="G1704"/>
      <c r="H1704"/>
      <c r="I1704"/>
      <c r="J1704"/>
    </row>
    <row r="1705" spans="1:10" x14ac:dyDescent="0.25">
      <c r="A1705"/>
      <c r="B1705"/>
      <c r="C1705"/>
      <c r="D1705"/>
      <c r="E1705"/>
      <c r="F1705"/>
      <c r="G1705"/>
      <c r="H1705"/>
      <c r="I1705"/>
      <c r="J1705"/>
    </row>
    <row r="1706" spans="1:10" x14ac:dyDescent="0.25">
      <c r="A1706"/>
      <c r="B1706"/>
      <c r="C1706"/>
      <c r="D1706"/>
      <c r="E1706"/>
      <c r="F1706"/>
      <c r="G1706"/>
      <c r="H1706"/>
      <c r="I1706"/>
      <c r="J1706"/>
    </row>
    <row r="1707" spans="1:10" x14ac:dyDescent="0.25">
      <c r="A1707"/>
      <c r="B1707"/>
      <c r="C1707"/>
      <c r="D1707"/>
      <c r="E1707"/>
      <c r="F1707"/>
      <c r="G1707"/>
      <c r="H1707"/>
      <c r="I1707"/>
      <c r="J1707"/>
    </row>
    <row r="1708" spans="1:10" x14ac:dyDescent="0.25">
      <c r="A1708"/>
      <c r="B1708"/>
      <c r="C1708"/>
      <c r="D1708"/>
      <c r="E1708"/>
      <c r="F1708"/>
      <c r="G1708"/>
      <c r="H1708"/>
      <c r="I1708"/>
      <c r="J1708"/>
    </row>
    <row r="1709" spans="1:10" x14ac:dyDescent="0.25">
      <c r="A1709"/>
      <c r="B1709"/>
      <c r="C1709"/>
      <c r="D1709"/>
      <c r="E1709"/>
      <c r="F1709"/>
      <c r="G1709"/>
      <c r="H1709"/>
      <c r="I1709"/>
      <c r="J1709"/>
    </row>
    <row r="1710" spans="1:10" x14ac:dyDescent="0.25">
      <c r="A1710"/>
      <c r="B1710"/>
      <c r="C1710"/>
      <c r="D1710"/>
      <c r="E1710"/>
      <c r="F1710"/>
      <c r="G1710"/>
      <c r="H1710"/>
      <c r="I1710"/>
      <c r="J1710"/>
    </row>
    <row r="1711" spans="1:10" x14ac:dyDescent="0.25">
      <c r="A1711"/>
      <c r="B1711"/>
      <c r="C1711"/>
      <c r="D1711"/>
      <c r="E1711"/>
      <c r="F1711"/>
      <c r="G1711"/>
      <c r="H1711"/>
      <c r="I1711"/>
      <c r="J1711"/>
    </row>
    <row r="1712" spans="1:10" x14ac:dyDescent="0.25">
      <c r="A1712"/>
      <c r="B1712"/>
      <c r="C1712"/>
      <c r="D1712"/>
      <c r="E1712"/>
      <c r="F1712"/>
      <c r="G1712"/>
      <c r="H1712"/>
      <c r="I1712"/>
      <c r="J1712"/>
    </row>
    <row r="1713" spans="1:10" x14ac:dyDescent="0.25">
      <c r="A1713"/>
      <c r="B1713"/>
      <c r="C1713"/>
      <c r="D1713"/>
      <c r="E1713"/>
      <c r="F1713"/>
      <c r="G1713"/>
      <c r="H1713"/>
      <c r="I1713"/>
      <c r="J1713"/>
    </row>
    <row r="1714" spans="1:10" x14ac:dyDescent="0.25">
      <c r="A1714"/>
      <c r="B1714"/>
      <c r="C1714"/>
      <c r="D1714"/>
      <c r="E1714"/>
      <c r="F1714"/>
      <c r="G1714"/>
      <c r="H1714"/>
      <c r="I1714"/>
      <c r="J1714"/>
    </row>
    <row r="1715" spans="1:10" x14ac:dyDescent="0.25">
      <c r="A1715"/>
      <c r="B1715"/>
      <c r="C1715"/>
      <c r="D1715"/>
      <c r="E1715"/>
      <c r="F1715"/>
      <c r="G1715"/>
      <c r="H1715"/>
      <c r="I1715"/>
      <c r="J1715"/>
    </row>
    <row r="1716" spans="1:10" x14ac:dyDescent="0.25">
      <c r="A1716"/>
      <c r="B1716"/>
      <c r="C1716"/>
      <c r="D1716"/>
      <c r="E1716"/>
      <c r="F1716"/>
      <c r="G1716"/>
      <c r="H1716"/>
      <c r="I1716"/>
      <c r="J1716"/>
    </row>
    <row r="1717" spans="1:10" x14ac:dyDescent="0.25">
      <c r="A1717"/>
      <c r="B1717"/>
      <c r="C1717"/>
      <c r="D1717"/>
      <c r="E1717"/>
      <c r="F1717"/>
      <c r="G1717"/>
      <c r="H1717"/>
      <c r="I1717"/>
      <c r="J1717"/>
    </row>
  </sheetData>
  <phoneticPr fontId="2" type="noConversion"/>
  <conditionalFormatting sqref="E1718:E1048576 E1:E2">
    <cfRule type="duplicateValues" dxfId="0" priority="48"/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81A3-9C91-426A-AE88-4B6265E9D8E3}">
  <sheetPr codeName="Sheet4"/>
  <dimension ref="A1:Q30"/>
  <sheetViews>
    <sheetView tabSelected="1" topLeftCell="C1" workbookViewId="0">
      <selection activeCell="I13" sqref="I13"/>
    </sheetView>
  </sheetViews>
  <sheetFormatPr defaultRowHeight="15" x14ac:dyDescent="0.25"/>
  <cols>
    <col min="1" max="1" width="8" customWidth="1"/>
    <col min="2" max="2" width="15.5703125" bestFit="1" customWidth="1"/>
    <col min="3" max="3" width="11.5703125" bestFit="1" customWidth="1"/>
    <col min="4" max="14" width="10.140625" bestFit="1" customWidth="1"/>
    <col min="15" max="15" width="9.28515625" bestFit="1" customWidth="1"/>
    <col min="16" max="16" width="10" bestFit="1" customWidth="1"/>
    <col min="17" max="17" width="13.28515625" customWidth="1"/>
  </cols>
  <sheetData>
    <row r="1" spans="1:17" s="45" customFormat="1" ht="45" x14ac:dyDescent="0.25">
      <c r="A1" s="45" t="s">
        <v>68</v>
      </c>
      <c r="B1" s="45" t="s">
        <v>6</v>
      </c>
      <c r="C1" s="45" t="s">
        <v>69</v>
      </c>
      <c r="D1" s="45" t="s">
        <v>70</v>
      </c>
      <c r="E1" s="45" t="s">
        <v>71</v>
      </c>
      <c r="F1" s="45" t="s">
        <v>72</v>
      </c>
      <c r="G1" s="45" t="s">
        <v>73</v>
      </c>
      <c r="H1" s="45" t="s">
        <v>74</v>
      </c>
      <c r="I1" s="45" t="s">
        <v>75</v>
      </c>
      <c r="J1" s="45" t="s">
        <v>76</v>
      </c>
      <c r="K1" s="45" t="s">
        <v>77</v>
      </c>
      <c r="L1" s="45" t="s">
        <v>78</v>
      </c>
      <c r="M1" s="45" t="s">
        <v>79</v>
      </c>
      <c r="N1" s="45" t="s">
        <v>80</v>
      </c>
      <c r="O1" s="45" t="s">
        <v>81</v>
      </c>
      <c r="P1" s="45" t="s">
        <v>82</v>
      </c>
      <c r="Q1" s="45" t="s">
        <v>83</v>
      </c>
    </row>
    <row r="2" spans="1:17" x14ac:dyDescent="0.25">
      <c r="A2" s="9">
        <v>304886</v>
      </c>
      <c r="B2" s="9" t="s">
        <v>408</v>
      </c>
      <c r="C2">
        <f>COUNTIFS(Old85sTable[CONTRACTOR],Trends[[#This Row],[CONTRACTOR]],Old85sTable[VANSCAN DATE],"&gt;"&amp;TODAY()-365)</f>
        <v>29</v>
      </c>
      <c r="D2" s="46" cm="1">
        <f t="array" ref="D2">SUMPRODUCT(1*(Old85sTable[CONTRACTOR]=Trends[[#This Row],[CONTRACTOR]]), 1*(DATE(YEAR(Old85sTable[VANSCAN DATE]),MONTH(Old85sTable[VANSCAN DATE]),1)=DATE(YEAR(TODAY()),MONTH(TODAY())-12, 1)))</f>
        <v>0</v>
      </c>
      <c r="E2" s="46" cm="1">
        <f t="array" ref="E2">SUMPRODUCT(1*(Old85sTable[CONTRACTOR]=Trends[[#This Row],[CONTRACTOR]]), 1*(DATE(YEAR(Old85sTable[VANSCAN DATE]),MONTH(Old85sTable[VANSCAN DATE]),1)=DATE(YEAR(TODAY()),MONTH(TODAY())-11, 1)))</f>
        <v>7</v>
      </c>
      <c r="F2" s="46" cm="1">
        <f t="array" ref="F2">SUMPRODUCT(1*(Old85sTable[CONTRACTOR]=Trends[[#This Row],[CONTRACTOR]]), 1*(DATE(YEAR(Old85sTable[VANSCAN DATE]),MONTH(Old85sTable[VANSCAN DATE]),1)=DATE(YEAR(TODAY()),MONTH(TODAY())-10, 1)))</f>
        <v>7</v>
      </c>
      <c r="G2" s="46" cm="1">
        <f t="array" ref="G2">SUMPRODUCT(1*(Old85sTable[CONTRACTOR]=Trends[[#This Row],[CONTRACTOR]]), 1*(DATE(YEAR(Old85sTable[VANSCAN DATE]),MONTH(Old85sTable[VANSCAN DATE]),1)=DATE(YEAR(TODAY()),MONTH(TODAY())-9, 1)))</f>
        <v>15</v>
      </c>
      <c r="H2" s="46" cm="1">
        <f t="array" ref="H2">SUMPRODUCT(1*(Old85sTable[CONTRACTOR]=Trends[[#This Row],[CONTRACTOR]]), 1*(DATE(YEAR(Old85sTable[VANSCAN DATE]),MONTH(Old85sTable[VANSCAN DATE]),1)=DATE(YEAR(TODAY()),MONTH(TODAY())-8, 1)))</f>
        <v>0</v>
      </c>
      <c r="I2" s="46" cm="1">
        <f t="array" ref="I2">SUMPRODUCT(1*(Old85sTable[CONTRACTOR]=Trends[[#This Row],[CONTRACTOR]]), 1*(DATE(YEAR(Old85sTable[VANSCAN DATE]),MONTH(Old85sTable[VANSCAN DATE]),1)=DATE(YEAR(TODAY()),MONTH(TODAY())-7, 1)))</f>
        <v>0</v>
      </c>
      <c r="J2" s="46" cm="1">
        <f t="array" ref="J2">SUMPRODUCT(1*(Old85sTable[CONTRACTOR]=Trends[[#This Row],[CONTRACTOR]]), 1*(DATE(YEAR(Old85sTable[VANSCAN DATE]),MONTH(Old85sTable[VANSCAN DATE]),1)=DATE(YEAR(TODAY()),MONTH(TODAY())-6, 1)))</f>
        <v>0</v>
      </c>
      <c r="K2" s="46" cm="1">
        <f t="array" ref="K2">SUMPRODUCT(1*(Old85sTable[CONTRACTOR]=Trends[[#This Row],[CONTRACTOR]]), 1*(DATE(YEAR(Old85sTable[VANSCAN DATE]),MONTH(Old85sTable[VANSCAN DATE]),1)=DATE(YEAR(TODAY()),MONTH(TODAY())-5, 1)))</f>
        <v>0</v>
      </c>
      <c r="L2" s="46" cm="1">
        <f t="array" ref="L2">SUMPRODUCT(1*(Old85sTable[CONTRACTOR]=Trends[[#This Row],[CONTRACTOR]]), 1*(DATE(YEAR(Old85sTable[VANSCAN DATE]),MONTH(Old85sTable[VANSCAN DATE]),1)=DATE(YEAR(TODAY()),MONTH(TODAY())-4, 1)))</f>
        <v>0</v>
      </c>
      <c r="M2" s="46" cm="1">
        <f t="array" ref="M2">SUMPRODUCT(1*(Old85sTable[CONTRACTOR]=Trends[[#This Row],[CONTRACTOR]]), 1*(DATE(YEAR(Old85sTable[VANSCAN DATE]),MONTH(Old85sTable[VANSCAN DATE]),1)=DATE(YEAR(TODAY()),MONTH(TODAY())-3, 1)))</f>
        <v>0</v>
      </c>
      <c r="N2" s="46" cm="1">
        <f t="array" ref="N2">SUMPRODUCT(1*(Old85sTable[CONTRACTOR]=Trends[[#This Row],[CONTRACTOR]]), 1*(DATE(YEAR(Old85sTable[VANSCAN DATE]),MONTH(Old85sTable[VANSCAN DATE]),1)=DATE(YEAR(TODAY()),MONTH(TODAY())-2, 1)))</f>
        <v>0</v>
      </c>
      <c r="O2" s="46" cm="1">
        <f t="array" ref="O2">SUMPRODUCT(1*(Old85sTable[CONTRACTOR]=Trends[[#This Row],[CONTRACTOR]]), 1*(DATE(YEAR(Old85sTable[VANSCAN DATE]),MONTH(Old85sTable[VANSCAN DATE]),1)=DATE(YEAR(TODAY()),MONTH(TODAY())-1, 1)))</f>
        <v>0</v>
      </c>
      <c r="P2" s="46" cm="1">
        <f t="array" ref="P2">SUMPRODUCT(1*(Old85sTable[CONTRACTOR]=Trends[[#This Row],[CONTRACTOR]]), 1*(DATE(YEAR(Old85sTable[VANSCAN DATE]),MONTH(Old85sTable[VANSCAN DATE]),1)=DATE(YEAR(TODAY()),MONTH(TODAY())-0, 1))) + Trends[[#This Row],[Unresolved]]</f>
        <v>2</v>
      </c>
      <c r="Q2" s="46" cm="1">
        <f t="array" ref="Q2">SUMPRODUCT(1*(Outstanding[CONTRACTOR]=Trends[[#This Row],[CONTRACTOR]]))</f>
        <v>2</v>
      </c>
    </row>
    <row r="3" spans="1:17" x14ac:dyDescent="0.25">
      <c r="A3" s="9">
        <v>304882</v>
      </c>
      <c r="B3" s="9" t="s">
        <v>409</v>
      </c>
      <c r="C3">
        <f>COUNTIFS(Old85sTable[CONTRACTOR],Trends[[#This Row],[CONTRACTOR]],Old85sTable[VANSCAN DATE],"&gt;"&amp;TODAY()-365)</f>
        <v>18</v>
      </c>
      <c r="D3" cm="1">
        <f t="array" ref="D3">SUMPRODUCT(1*(Old85sTable[CONTRACTOR]=Trends[[#This Row],[CONTRACTOR]]), 1*(DATE(YEAR(Old85sTable[VANSCAN DATE]),MONTH(Old85sTable[VANSCAN DATE]),1)=DATE(YEAR(TODAY()),MONTH(TODAY())-12, 1)))</f>
        <v>0</v>
      </c>
      <c r="E3" cm="1">
        <f t="array" ref="E3">SUMPRODUCT(1*(Old85sTable[CONTRACTOR]=Trends[[#This Row],[CONTRACTOR]]), 1*(DATE(YEAR(Old85sTable[VANSCAN DATE]),MONTH(Old85sTable[VANSCAN DATE]),1)=DATE(YEAR(TODAY()),MONTH(TODAY())-11, 1)))</f>
        <v>15</v>
      </c>
      <c r="F3" cm="1">
        <f t="array" ref="F3">SUMPRODUCT(1*(Old85sTable[CONTRACTOR]=Trends[[#This Row],[CONTRACTOR]]), 1*(DATE(YEAR(Old85sTable[VANSCAN DATE]),MONTH(Old85sTable[VANSCAN DATE]),1)=DATE(YEAR(TODAY()),MONTH(TODAY())-10, 1)))</f>
        <v>3</v>
      </c>
      <c r="G3" cm="1">
        <f t="array" ref="G3">SUMPRODUCT(1*(Old85sTable[CONTRACTOR]=Trends[[#This Row],[CONTRACTOR]]), 1*(DATE(YEAR(Old85sTable[VANSCAN DATE]),MONTH(Old85sTable[VANSCAN DATE]),1)=DATE(YEAR(TODAY()),MONTH(TODAY())-9, 1)))</f>
        <v>0</v>
      </c>
      <c r="H3" cm="1">
        <f t="array" ref="H3">SUMPRODUCT(1*(Old85sTable[CONTRACTOR]=Trends[[#This Row],[CONTRACTOR]]), 1*(DATE(YEAR(Old85sTable[VANSCAN DATE]),MONTH(Old85sTable[VANSCAN DATE]),1)=DATE(YEAR(TODAY()),MONTH(TODAY())-8, 1)))</f>
        <v>0</v>
      </c>
      <c r="I3" cm="1">
        <f t="array" ref="I3">SUMPRODUCT(1*(Old85sTable[CONTRACTOR]=Trends[[#This Row],[CONTRACTOR]]), 1*(DATE(YEAR(Old85sTable[VANSCAN DATE]),MONTH(Old85sTable[VANSCAN DATE]),1)=DATE(YEAR(TODAY()),MONTH(TODAY())-7, 1)))</f>
        <v>0</v>
      </c>
      <c r="J3" cm="1">
        <f t="array" ref="J3">SUMPRODUCT(1*(Old85sTable[CONTRACTOR]=Trends[[#This Row],[CONTRACTOR]]), 1*(DATE(YEAR(Old85sTable[VANSCAN DATE]),MONTH(Old85sTable[VANSCAN DATE]),1)=DATE(YEAR(TODAY()),MONTH(TODAY())-6, 1)))</f>
        <v>0</v>
      </c>
      <c r="K3" cm="1">
        <f t="array" ref="K3">SUMPRODUCT(1*(Old85sTable[CONTRACTOR]=Trends[[#This Row],[CONTRACTOR]]), 1*(DATE(YEAR(Old85sTable[VANSCAN DATE]),MONTH(Old85sTable[VANSCAN DATE]),1)=DATE(YEAR(TODAY()),MONTH(TODAY())-5, 1)))</f>
        <v>0</v>
      </c>
      <c r="L3" cm="1">
        <f t="array" ref="L3">SUMPRODUCT(1*(Old85sTable[CONTRACTOR]=Trends[[#This Row],[CONTRACTOR]]), 1*(DATE(YEAR(Old85sTable[VANSCAN DATE]),MONTH(Old85sTable[VANSCAN DATE]),1)=DATE(YEAR(TODAY()),MONTH(TODAY())-4, 1)))</f>
        <v>0</v>
      </c>
      <c r="M3" cm="1">
        <f t="array" ref="M3">SUMPRODUCT(1*(Old85sTable[CONTRACTOR]=Trends[[#This Row],[CONTRACTOR]]), 1*(DATE(YEAR(Old85sTable[VANSCAN DATE]),MONTH(Old85sTable[VANSCAN DATE]),1)=DATE(YEAR(TODAY()),MONTH(TODAY())-3, 1)))</f>
        <v>0</v>
      </c>
      <c r="N3" cm="1">
        <f t="array" ref="N3">SUMPRODUCT(1*(Old85sTable[CONTRACTOR]=Trends[[#This Row],[CONTRACTOR]]), 1*(DATE(YEAR(Old85sTable[VANSCAN DATE]),MONTH(Old85sTable[VANSCAN DATE]),1)=DATE(YEAR(TODAY()),MONTH(TODAY())-2, 1)))</f>
        <v>0</v>
      </c>
      <c r="O3" cm="1">
        <f t="array" ref="O3">SUMPRODUCT(1*(Old85sTable[CONTRACTOR]=Trends[[#This Row],[CONTRACTOR]]), 1*(DATE(YEAR(Old85sTable[VANSCAN DATE]),MONTH(Old85sTable[VANSCAN DATE]),1)=DATE(YEAR(TODAY()),MONTH(TODAY())-1, 1)))</f>
        <v>0</v>
      </c>
      <c r="P3" s="46" cm="1">
        <f t="array" ref="P3">SUMPRODUCT(1*(Old85sTable[CONTRACTOR]=Trends[[#This Row],[CONTRACTOR]]), 1*(DATE(YEAR(Old85sTable[VANSCAN DATE]),MONTH(Old85sTable[VANSCAN DATE]),1)=DATE(YEAR(TODAY()),MONTH(TODAY())-0, 1))) + Trends[[#This Row],[Unresolved]]</f>
        <v>19</v>
      </c>
      <c r="Q3" s="46" cm="1">
        <f t="array" ref="Q3">SUMPRODUCT(1*(Outstanding[CONTRACTOR]=Trends[[#This Row],[CONTRACTOR]]))</f>
        <v>19</v>
      </c>
    </row>
    <row r="4" spans="1:17" x14ac:dyDescent="0.25">
      <c r="A4" s="9">
        <v>304883</v>
      </c>
      <c r="B4" s="9" t="s">
        <v>410</v>
      </c>
      <c r="C4" s="47">
        <f>COUNTIFS(Old85sTable[CONTRACTOR],Trends[[#This Row],[CONTRACTOR]],Old85sTable[VANSCAN DATE],"&gt;"&amp;TODAY()-365)</f>
        <v>18</v>
      </c>
      <c r="D4" cm="1">
        <f t="array" ref="D4">SUMPRODUCT(1*(Old85sTable[CONTRACTOR]=Trends[[#This Row],[CONTRACTOR]]), 1*(DATE(YEAR(Old85sTable[VANSCAN DATE]),MONTH(Old85sTable[VANSCAN DATE]),1)=DATE(YEAR(TODAY()),MONTH(TODAY())-12, 1)))</f>
        <v>0</v>
      </c>
      <c r="E4" cm="1">
        <f t="array" ref="E4">SUMPRODUCT(1*(Old85sTable[CONTRACTOR]=Trends[[#This Row],[CONTRACTOR]]), 1*(DATE(YEAR(Old85sTable[VANSCAN DATE]),MONTH(Old85sTable[VANSCAN DATE]),1)=DATE(YEAR(TODAY()),MONTH(TODAY())-11, 1)))</f>
        <v>0</v>
      </c>
      <c r="F4" cm="1">
        <f t="array" ref="F4">SUMPRODUCT(1*(Old85sTable[CONTRACTOR]=Trends[[#This Row],[CONTRACTOR]]), 1*(DATE(YEAR(Old85sTable[VANSCAN DATE]),MONTH(Old85sTable[VANSCAN DATE]),1)=DATE(YEAR(TODAY()),MONTH(TODAY())-10, 1)))</f>
        <v>5</v>
      </c>
      <c r="G4" cm="1">
        <f t="array" ref="G4">SUMPRODUCT(1*(Old85sTable[CONTRACTOR]=Trends[[#This Row],[CONTRACTOR]]), 1*(DATE(YEAR(Old85sTable[VANSCAN DATE]),MONTH(Old85sTable[VANSCAN DATE]),1)=DATE(YEAR(TODAY()),MONTH(TODAY())-9, 1)))</f>
        <v>13</v>
      </c>
      <c r="H4" cm="1">
        <f t="array" ref="H4">SUMPRODUCT(1*(Old85sTable[CONTRACTOR]=Trends[[#This Row],[CONTRACTOR]]), 1*(DATE(YEAR(Old85sTable[VANSCAN DATE]),MONTH(Old85sTable[VANSCAN DATE]),1)=DATE(YEAR(TODAY()),MONTH(TODAY())-8, 1)))</f>
        <v>0</v>
      </c>
      <c r="I4" cm="1">
        <f t="array" ref="I4">SUMPRODUCT(1*(Old85sTable[CONTRACTOR]=Trends[[#This Row],[CONTRACTOR]]), 1*(DATE(YEAR(Old85sTable[VANSCAN DATE]),MONTH(Old85sTable[VANSCAN DATE]),1)=DATE(YEAR(TODAY()),MONTH(TODAY())-7, 1)))</f>
        <v>0</v>
      </c>
      <c r="J4" cm="1">
        <f t="array" ref="J4">SUMPRODUCT(1*(Old85sTable[CONTRACTOR]=Trends[[#This Row],[CONTRACTOR]]), 1*(DATE(YEAR(Old85sTable[VANSCAN DATE]),MONTH(Old85sTable[VANSCAN DATE]),1)=DATE(YEAR(TODAY()),MONTH(TODAY())-6, 1)))</f>
        <v>0</v>
      </c>
      <c r="K4" cm="1">
        <f t="array" ref="K4">SUMPRODUCT(1*(Old85sTable[CONTRACTOR]=Trends[[#This Row],[CONTRACTOR]]), 1*(DATE(YEAR(Old85sTable[VANSCAN DATE]),MONTH(Old85sTable[VANSCAN DATE]),1)=DATE(YEAR(TODAY()),MONTH(TODAY())-5, 1)))</f>
        <v>0</v>
      </c>
      <c r="L4" cm="1">
        <f t="array" ref="L4">SUMPRODUCT(1*(Old85sTable[CONTRACTOR]=Trends[[#This Row],[CONTRACTOR]]), 1*(DATE(YEAR(Old85sTable[VANSCAN DATE]),MONTH(Old85sTable[VANSCAN DATE]),1)=DATE(YEAR(TODAY()),MONTH(TODAY())-4, 1)))</f>
        <v>0</v>
      </c>
      <c r="M4" cm="1">
        <f t="array" ref="M4">SUMPRODUCT(1*(Old85sTable[CONTRACTOR]=Trends[[#This Row],[CONTRACTOR]]), 1*(DATE(YEAR(Old85sTable[VANSCAN DATE]),MONTH(Old85sTable[VANSCAN DATE]),1)=DATE(YEAR(TODAY()),MONTH(TODAY())-3, 1)))</f>
        <v>0</v>
      </c>
      <c r="N4" cm="1">
        <f t="array" ref="N4">SUMPRODUCT(1*(Old85sTable[CONTRACTOR]=Trends[[#This Row],[CONTRACTOR]]), 1*(DATE(YEAR(Old85sTable[VANSCAN DATE]),MONTH(Old85sTable[VANSCAN DATE]),1)=DATE(YEAR(TODAY()),MONTH(TODAY())-2, 1)))</f>
        <v>0</v>
      </c>
      <c r="O4" cm="1">
        <f t="array" ref="O4">SUMPRODUCT(1*(Old85sTable[CONTRACTOR]=Trends[[#This Row],[CONTRACTOR]]), 1*(DATE(YEAR(Old85sTable[VANSCAN DATE]),MONTH(Old85sTable[VANSCAN DATE]),1)=DATE(YEAR(TODAY()),MONTH(TODAY())-1, 1)))</f>
        <v>0</v>
      </c>
      <c r="P4" s="46" cm="1">
        <f t="array" ref="P4">SUMPRODUCT(1*(Old85sTable[CONTRACTOR]=Trends[[#This Row],[CONTRACTOR]]), 1*(DATE(YEAR(Old85sTable[VANSCAN DATE]),MONTH(Old85sTable[VANSCAN DATE]),1)=DATE(YEAR(TODAY()),MONTH(TODAY())-0, 1))) + Trends[[#This Row],[Unresolved]]</f>
        <v>1</v>
      </c>
      <c r="Q4" s="46" cm="1">
        <f t="array" ref="Q4">SUMPRODUCT(1*(Outstanding[CONTRACTOR]=Trends[[#This Row],[CONTRACTOR]]))</f>
        <v>1</v>
      </c>
    </row>
    <row r="5" spans="1:17" x14ac:dyDescent="0.25">
      <c r="A5" s="9">
        <v>304887</v>
      </c>
      <c r="B5" s="9" t="s">
        <v>411</v>
      </c>
      <c r="C5">
        <f>COUNTIFS(Old85sTable[CONTRACTOR],Trends[[#This Row],[CONTRACTOR]],Old85sTable[VANSCAN DATE],"&gt;"&amp;TODAY()-365)</f>
        <v>11</v>
      </c>
      <c r="D5" cm="1">
        <f t="array" ref="D5">SUMPRODUCT(1*(Old85sTable[CONTRACTOR]=Trends[[#This Row],[CONTRACTOR]]), 1*(DATE(YEAR(Old85sTable[VANSCAN DATE]),MONTH(Old85sTable[VANSCAN DATE]),1)=DATE(YEAR(TODAY()),MONTH(TODAY())-12, 1)))</f>
        <v>0</v>
      </c>
      <c r="E5" cm="1">
        <f t="array" ref="E5">SUMPRODUCT(1*(Old85sTable[CONTRACTOR]=Trends[[#This Row],[CONTRACTOR]]), 1*(DATE(YEAR(Old85sTable[VANSCAN DATE]),MONTH(Old85sTable[VANSCAN DATE]),1)=DATE(YEAR(TODAY()),MONTH(TODAY())-11, 1)))</f>
        <v>0</v>
      </c>
      <c r="F5" cm="1">
        <f t="array" ref="F5">SUMPRODUCT(1*(Old85sTable[CONTRACTOR]=Trends[[#This Row],[CONTRACTOR]]), 1*(DATE(YEAR(Old85sTable[VANSCAN DATE]),MONTH(Old85sTable[VANSCAN DATE]),1)=DATE(YEAR(TODAY()),MONTH(TODAY())-10, 1)))</f>
        <v>2</v>
      </c>
      <c r="G5" cm="1">
        <f t="array" ref="G5">SUMPRODUCT(1*(Old85sTable[CONTRACTOR]=Trends[[#This Row],[CONTRACTOR]]), 1*(DATE(YEAR(Old85sTable[VANSCAN DATE]),MONTH(Old85sTable[VANSCAN DATE]),1)=DATE(YEAR(TODAY()),MONTH(TODAY())-9, 1)))</f>
        <v>9</v>
      </c>
      <c r="H5" cm="1">
        <f t="array" ref="H5">SUMPRODUCT(1*(Old85sTable[CONTRACTOR]=Trends[[#This Row],[CONTRACTOR]]), 1*(DATE(YEAR(Old85sTable[VANSCAN DATE]),MONTH(Old85sTable[VANSCAN DATE]),1)=DATE(YEAR(TODAY()),MONTH(TODAY())-8, 1)))</f>
        <v>0</v>
      </c>
      <c r="I5" cm="1">
        <f t="array" ref="I5">SUMPRODUCT(1*(Old85sTable[CONTRACTOR]=Trends[[#This Row],[CONTRACTOR]]), 1*(DATE(YEAR(Old85sTable[VANSCAN DATE]),MONTH(Old85sTable[VANSCAN DATE]),1)=DATE(YEAR(TODAY()),MONTH(TODAY())-7, 1)))</f>
        <v>0</v>
      </c>
      <c r="J5" cm="1">
        <f t="array" ref="J5">SUMPRODUCT(1*(Old85sTable[CONTRACTOR]=Trends[[#This Row],[CONTRACTOR]]), 1*(DATE(YEAR(Old85sTable[VANSCAN DATE]),MONTH(Old85sTable[VANSCAN DATE]),1)=DATE(YEAR(TODAY()),MONTH(TODAY())-6, 1)))</f>
        <v>0</v>
      </c>
      <c r="K5" cm="1">
        <f t="array" ref="K5">SUMPRODUCT(1*(Old85sTable[CONTRACTOR]=Trends[[#This Row],[CONTRACTOR]]), 1*(DATE(YEAR(Old85sTable[VANSCAN DATE]),MONTH(Old85sTable[VANSCAN DATE]),1)=DATE(YEAR(TODAY()),MONTH(TODAY())-5, 1)))</f>
        <v>0</v>
      </c>
      <c r="L5" cm="1">
        <f t="array" ref="L5">SUMPRODUCT(1*(Old85sTable[CONTRACTOR]=Trends[[#This Row],[CONTRACTOR]]), 1*(DATE(YEAR(Old85sTable[VANSCAN DATE]),MONTH(Old85sTable[VANSCAN DATE]),1)=DATE(YEAR(TODAY()),MONTH(TODAY())-4, 1)))</f>
        <v>0</v>
      </c>
      <c r="M5" cm="1">
        <f t="array" ref="M5">SUMPRODUCT(1*(Old85sTable[CONTRACTOR]=Trends[[#This Row],[CONTRACTOR]]), 1*(DATE(YEAR(Old85sTable[VANSCAN DATE]),MONTH(Old85sTable[VANSCAN DATE]),1)=DATE(YEAR(TODAY()),MONTH(TODAY())-3, 1)))</f>
        <v>0</v>
      </c>
      <c r="N5" cm="1">
        <f t="array" ref="N5">SUMPRODUCT(1*(Old85sTable[CONTRACTOR]=Trends[[#This Row],[CONTRACTOR]]), 1*(DATE(YEAR(Old85sTable[VANSCAN DATE]),MONTH(Old85sTable[VANSCAN DATE]),1)=DATE(YEAR(TODAY()),MONTH(TODAY())-2, 1)))</f>
        <v>0</v>
      </c>
      <c r="O5" cm="1">
        <f t="array" ref="O5">SUMPRODUCT(1*(Old85sTable[CONTRACTOR]=Trends[[#This Row],[CONTRACTOR]]), 1*(DATE(YEAR(Old85sTable[VANSCAN DATE]),MONTH(Old85sTable[VANSCAN DATE]),1)=DATE(YEAR(TODAY()),MONTH(TODAY())-1, 1)))</f>
        <v>0</v>
      </c>
      <c r="P5" s="46" cm="1">
        <f t="array" ref="P5">SUMPRODUCT(1*(Old85sTable[CONTRACTOR]=Trends[[#This Row],[CONTRACTOR]]), 1*(DATE(YEAR(Old85sTable[VANSCAN DATE]),MONTH(Old85sTable[VANSCAN DATE]),1)=DATE(YEAR(TODAY()),MONTH(TODAY())-0, 1))) + Trends[[#This Row],[Unresolved]]</f>
        <v>8</v>
      </c>
      <c r="Q5" s="46" cm="1">
        <f t="array" ref="Q5">SUMPRODUCT(1*(Outstanding[CONTRACTOR]=Trends[[#This Row],[CONTRACTOR]]))</f>
        <v>8</v>
      </c>
    </row>
    <row r="6" spans="1:17" x14ac:dyDescent="0.25">
      <c r="A6" s="9">
        <v>304914</v>
      </c>
      <c r="B6" s="9" t="s">
        <v>412</v>
      </c>
      <c r="C6">
        <f>COUNTIFS(Old85sTable[CONTRACTOR],Trends[[#This Row],[CONTRACTOR]],Old85sTable[VANSCAN DATE],"&gt;"&amp;TODAY()-365)</f>
        <v>12</v>
      </c>
      <c r="D6" cm="1">
        <f t="array" ref="D6">SUMPRODUCT(1*(Old85sTable[CONTRACTOR]=Trends[[#This Row],[CONTRACTOR]]), 1*(DATE(YEAR(Old85sTable[VANSCAN DATE]),MONTH(Old85sTable[VANSCAN DATE]),1)=DATE(YEAR(TODAY()),MONTH(TODAY())-12, 1)))</f>
        <v>0</v>
      </c>
      <c r="E6" cm="1">
        <f t="array" ref="E6">SUMPRODUCT(1*(Old85sTable[CONTRACTOR]=Trends[[#This Row],[CONTRACTOR]]), 1*(DATE(YEAR(Old85sTable[VANSCAN DATE]),MONTH(Old85sTable[VANSCAN DATE]),1)=DATE(YEAR(TODAY()),MONTH(TODAY())-11, 1)))</f>
        <v>0</v>
      </c>
      <c r="F6" cm="1">
        <f t="array" ref="F6">SUMPRODUCT(1*(Old85sTable[CONTRACTOR]=Trends[[#This Row],[CONTRACTOR]]), 1*(DATE(YEAR(Old85sTable[VANSCAN DATE]),MONTH(Old85sTable[VANSCAN DATE]),1)=DATE(YEAR(TODAY()),MONTH(TODAY())-10, 1)))</f>
        <v>0</v>
      </c>
      <c r="G6" cm="1">
        <f t="array" ref="G6">SUMPRODUCT(1*(Old85sTable[CONTRACTOR]=Trends[[#This Row],[CONTRACTOR]]), 1*(DATE(YEAR(Old85sTable[VANSCAN DATE]),MONTH(Old85sTable[VANSCAN DATE]),1)=DATE(YEAR(TODAY()),MONTH(TODAY())-9, 1)))</f>
        <v>12</v>
      </c>
      <c r="H6" cm="1">
        <f t="array" ref="H6">SUMPRODUCT(1*(Old85sTable[CONTRACTOR]=Trends[[#This Row],[CONTRACTOR]]), 1*(DATE(YEAR(Old85sTable[VANSCAN DATE]),MONTH(Old85sTable[VANSCAN DATE]),1)=DATE(YEAR(TODAY()),MONTH(TODAY())-8, 1)))</f>
        <v>0</v>
      </c>
      <c r="I6" cm="1">
        <f t="array" ref="I6">SUMPRODUCT(1*(Old85sTable[CONTRACTOR]=Trends[[#This Row],[CONTRACTOR]]), 1*(DATE(YEAR(Old85sTable[VANSCAN DATE]),MONTH(Old85sTable[VANSCAN DATE]),1)=DATE(YEAR(TODAY()),MONTH(TODAY())-7, 1)))</f>
        <v>0</v>
      </c>
      <c r="J6" cm="1">
        <f t="array" ref="J6">SUMPRODUCT(1*(Old85sTable[CONTRACTOR]=Trends[[#This Row],[CONTRACTOR]]), 1*(DATE(YEAR(Old85sTable[VANSCAN DATE]),MONTH(Old85sTable[VANSCAN DATE]),1)=DATE(YEAR(TODAY()),MONTH(TODAY())-6, 1)))</f>
        <v>0</v>
      </c>
      <c r="K6" cm="1">
        <f t="array" ref="K6">SUMPRODUCT(1*(Old85sTable[CONTRACTOR]=Trends[[#This Row],[CONTRACTOR]]), 1*(DATE(YEAR(Old85sTable[VANSCAN DATE]),MONTH(Old85sTable[VANSCAN DATE]),1)=DATE(YEAR(TODAY()),MONTH(TODAY())-5, 1)))</f>
        <v>0</v>
      </c>
      <c r="L6" cm="1">
        <f t="array" ref="L6">SUMPRODUCT(1*(Old85sTable[CONTRACTOR]=Trends[[#This Row],[CONTRACTOR]]), 1*(DATE(YEAR(Old85sTable[VANSCAN DATE]),MONTH(Old85sTable[VANSCAN DATE]),1)=DATE(YEAR(TODAY()),MONTH(TODAY())-4, 1)))</f>
        <v>0</v>
      </c>
      <c r="M6" cm="1">
        <f t="array" ref="M6">SUMPRODUCT(1*(Old85sTable[CONTRACTOR]=Trends[[#This Row],[CONTRACTOR]]), 1*(DATE(YEAR(Old85sTable[VANSCAN DATE]),MONTH(Old85sTable[VANSCAN DATE]),1)=DATE(YEAR(TODAY()),MONTH(TODAY())-3, 1)))</f>
        <v>0</v>
      </c>
      <c r="N6" cm="1">
        <f t="array" ref="N6">SUMPRODUCT(1*(Old85sTable[CONTRACTOR]=Trends[[#This Row],[CONTRACTOR]]), 1*(DATE(YEAR(Old85sTable[VANSCAN DATE]),MONTH(Old85sTable[VANSCAN DATE]),1)=DATE(YEAR(TODAY()),MONTH(TODAY())-2, 1)))</f>
        <v>0</v>
      </c>
      <c r="O6" cm="1">
        <f t="array" ref="O6">SUMPRODUCT(1*(Old85sTable[CONTRACTOR]=Trends[[#This Row],[CONTRACTOR]]), 1*(DATE(YEAR(Old85sTable[VANSCAN DATE]),MONTH(Old85sTable[VANSCAN DATE]),1)=DATE(YEAR(TODAY()),MONTH(TODAY())-1, 1)))</f>
        <v>0</v>
      </c>
      <c r="P6" s="46" cm="1">
        <f t="array" ref="P6">SUMPRODUCT(1*(Old85sTable[CONTRACTOR]=Trends[[#This Row],[CONTRACTOR]]), 1*(DATE(YEAR(Old85sTable[VANSCAN DATE]),MONTH(Old85sTable[VANSCAN DATE]),1)=DATE(YEAR(TODAY()),MONTH(TODAY())-0, 1))) + Trends[[#This Row],[Unresolved]]</f>
        <v>3</v>
      </c>
      <c r="Q6" s="46" cm="1">
        <f t="array" ref="Q6">SUMPRODUCT(1*(Outstanding[CONTRACTOR]=Trends[[#This Row],[CONTRACTOR]]))</f>
        <v>3</v>
      </c>
    </row>
    <row r="7" spans="1:17" x14ac:dyDescent="0.25">
      <c r="A7" s="9">
        <v>304988</v>
      </c>
      <c r="B7" s="9" t="s">
        <v>413</v>
      </c>
      <c r="C7">
        <f>COUNTIFS(Old85sTable[CONTRACTOR],Trends[[#This Row],[CONTRACTOR]],Old85sTable[VANSCAN DATE],"&gt;"&amp;TODAY()-365)</f>
        <v>7</v>
      </c>
      <c r="D7" cm="1">
        <f t="array" ref="D7">SUMPRODUCT(1*(Old85sTable[CONTRACTOR]=Trends[[#This Row],[CONTRACTOR]]), 1*(DATE(YEAR(Old85sTable[VANSCAN DATE]),MONTH(Old85sTable[VANSCAN DATE]),1)=DATE(YEAR(TODAY()),MONTH(TODAY())-12, 1)))</f>
        <v>0</v>
      </c>
      <c r="E7" cm="1">
        <f t="array" ref="E7">SUMPRODUCT(1*(Old85sTable[CONTRACTOR]=Trends[[#This Row],[CONTRACTOR]]), 1*(DATE(YEAR(Old85sTable[VANSCAN DATE]),MONTH(Old85sTable[VANSCAN DATE]),1)=DATE(YEAR(TODAY()),MONTH(TODAY())-11, 1)))</f>
        <v>1</v>
      </c>
      <c r="F7" cm="1">
        <f t="array" ref="F7">SUMPRODUCT(1*(Old85sTable[CONTRACTOR]=Trends[[#This Row],[CONTRACTOR]]), 1*(DATE(YEAR(Old85sTable[VANSCAN DATE]),MONTH(Old85sTable[VANSCAN DATE]),1)=DATE(YEAR(TODAY()),MONTH(TODAY())-10, 1)))</f>
        <v>0</v>
      </c>
      <c r="G7" cm="1">
        <f t="array" ref="G7">SUMPRODUCT(1*(Old85sTable[CONTRACTOR]=Trends[[#This Row],[CONTRACTOR]]), 1*(DATE(YEAR(Old85sTable[VANSCAN DATE]),MONTH(Old85sTable[VANSCAN DATE]),1)=DATE(YEAR(TODAY()),MONTH(TODAY())-9, 1)))</f>
        <v>6</v>
      </c>
      <c r="H7" cm="1">
        <f t="array" ref="H7">SUMPRODUCT(1*(Old85sTable[CONTRACTOR]=Trends[[#This Row],[CONTRACTOR]]), 1*(DATE(YEAR(Old85sTable[VANSCAN DATE]),MONTH(Old85sTable[VANSCAN DATE]),1)=DATE(YEAR(TODAY()),MONTH(TODAY())-8, 1)))</f>
        <v>0</v>
      </c>
      <c r="I7" cm="1">
        <f t="array" ref="I7">SUMPRODUCT(1*(Old85sTable[CONTRACTOR]=Trends[[#This Row],[CONTRACTOR]]), 1*(DATE(YEAR(Old85sTable[VANSCAN DATE]),MONTH(Old85sTable[VANSCAN DATE]),1)=DATE(YEAR(TODAY()),MONTH(TODAY())-7, 1)))</f>
        <v>0</v>
      </c>
      <c r="J7" cm="1">
        <f t="array" ref="J7">SUMPRODUCT(1*(Old85sTable[CONTRACTOR]=Trends[[#This Row],[CONTRACTOR]]), 1*(DATE(YEAR(Old85sTable[VANSCAN DATE]),MONTH(Old85sTable[VANSCAN DATE]),1)=DATE(YEAR(TODAY()),MONTH(TODAY())-6, 1)))</f>
        <v>0</v>
      </c>
      <c r="K7" cm="1">
        <f t="array" ref="K7">SUMPRODUCT(1*(Old85sTable[CONTRACTOR]=Trends[[#This Row],[CONTRACTOR]]), 1*(DATE(YEAR(Old85sTable[VANSCAN DATE]),MONTH(Old85sTable[VANSCAN DATE]),1)=DATE(YEAR(TODAY()),MONTH(TODAY())-5, 1)))</f>
        <v>0</v>
      </c>
      <c r="L7" cm="1">
        <f t="array" ref="L7">SUMPRODUCT(1*(Old85sTable[CONTRACTOR]=Trends[[#This Row],[CONTRACTOR]]), 1*(DATE(YEAR(Old85sTable[VANSCAN DATE]),MONTH(Old85sTable[VANSCAN DATE]),1)=DATE(YEAR(TODAY()),MONTH(TODAY())-4, 1)))</f>
        <v>0</v>
      </c>
      <c r="M7" cm="1">
        <f t="array" ref="M7">SUMPRODUCT(1*(Old85sTable[CONTRACTOR]=Trends[[#This Row],[CONTRACTOR]]), 1*(DATE(YEAR(Old85sTable[VANSCAN DATE]),MONTH(Old85sTable[VANSCAN DATE]),1)=DATE(YEAR(TODAY()),MONTH(TODAY())-3, 1)))</f>
        <v>0</v>
      </c>
      <c r="N7" cm="1">
        <f t="array" ref="N7">SUMPRODUCT(1*(Old85sTable[CONTRACTOR]=Trends[[#This Row],[CONTRACTOR]]), 1*(DATE(YEAR(Old85sTable[VANSCAN DATE]),MONTH(Old85sTable[VANSCAN DATE]),1)=DATE(YEAR(TODAY()),MONTH(TODAY())-2, 1)))</f>
        <v>0</v>
      </c>
      <c r="O7" cm="1">
        <f t="array" ref="O7">SUMPRODUCT(1*(Old85sTable[CONTRACTOR]=Trends[[#This Row],[CONTRACTOR]]), 1*(DATE(YEAR(Old85sTable[VANSCAN DATE]),MONTH(Old85sTable[VANSCAN DATE]),1)=DATE(YEAR(TODAY()),MONTH(TODAY())-1, 1)))</f>
        <v>0</v>
      </c>
      <c r="P7" s="46" cm="1">
        <f t="array" ref="P7">SUMPRODUCT(1*(Old85sTable[CONTRACTOR]=Trends[[#This Row],[CONTRACTOR]]), 1*(DATE(YEAR(Old85sTable[VANSCAN DATE]),MONTH(Old85sTable[VANSCAN DATE]),1)=DATE(YEAR(TODAY()),MONTH(TODAY())-0, 1))) + Trends[[#This Row],[Unresolved]]</f>
        <v>2</v>
      </c>
      <c r="Q7" s="46" cm="1">
        <f t="array" ref="Q7">SUMPRODUCT(1*(Outstanding[CONTRACTOR]=Trends[[#This Row],[CONTRACTOR]]))</f>
        <v>2</v>
      </c>
    </row>
    <row r="8" spans="1:17" x14ac:dyDescent="0.25">
      <c r="A8" s="9">
        <v>304885</v>
      </c>
      <c r="B8" s="9" t="s">
        <v>414</v>
      </c>
      <c r="C8">
        <f>COUNTIFS(Old85sTable[CONTRACTOR],Trends[[#This Row],[CONTRACTOR]],Old85sTable[VANSCAN DATE],"&gt;"&amp;TODAY()-365)</f>
        <v>7</v>
      </c>
      <c r="D8" cm="1">
        <f t="array" ref="D8">SUMPRODUCT(1*(Old85sTable[CONTRACTOR]=Trends[[#This Row],[CONTRACTOR]]), 1*(DATE(YEAR(Old85sTable[VANSCAN DATE]),MONTH(Old85sTable[VANSCAN DATE]),1)=DATE(YEAR(TODAY()),MONTH(TODAY())-12, 1)))</f>
        <v>0</v>
      </c>
      <c r="E8" cm="1">
        <f t="array" ref="E8">SUMPRODUCT(1*(Old85sTable[CONTRACTOR]=Trends[[#This Row],[CONTRACTOR]]), 1*(DATE(YEAR(Old85sTable[VANSCAN DATE]),MONTH(Old85sTable[VANSCAN DATE]),1)=DATE(YEAR(TODAY()),MONTH(TODAY())-11, 1)))</f>
        <v>0</v>
      </c>
      <c r="F8" cm="1">
        <f t="array" ref="F8">SUMPRODUCT(1*(Old85sTable[CONTRACTOR]=Trends[[#This Row],[CONTRACTOR]]), 1*(DATE(YEAR(Old85sTable[VANSCAN DATE]),MONTH(Old85sTable[VANSCAN DATE]),1)=DATE(YEAR(TODAY()),MONTH(TODAY())-10, 1)))</f>
        <v>0</v>
      </c>
      <c r="G8" cm="1">
        <f t="array" ref="G8">SUMPRODUCT(1*(Old85sTable[CONTRACTOR]=Trends[[#This Row],[CONTRACTOR]]), 1*(DATE(YEAR(Old85sTable[VANSCAN DATE]),MONTH(Old85sTable[VANSCAN DATE]),1)=DATE(YEAR(TODAY()),MONTH(TODAY())-9, 1)))</f>
        <v>7</v>
      </c>
      <c r="H8" cm="1">
        <f t="array" ref="H8">SUMPRODUCT(1*(Old85sTable[CONTRACTOR]=Trends[[#This Row],[CONTRACTOR]]), 1*(DATE(YEAR(Old85sTable[VANSCAN DATE]),MONTH(Old85sTable[VANSCAN DATE]),1)=DATE(YEAR(TODAY()),MONTH(TODAY())-8, 1)))</f>
        <v>0</v>
      </c>
      <c r="I8" cm="1">
        <f t="array" ref="I8">SUMPRODUCT(1*(Old85sTable[CONTRACTOR]=Trends[[#This Row],[CONTRACTOR]]), 1*(DATE(YEAR(Old85sTable[VANSCAN DATE]),MONTH(Old85sTable[VANSCAN DATE]),1)=DATE(YEAR(TODAY()),MONTH(TODAY())-7, 1)))</f>
        <v>0</v>
      </c>
      <c r="J8" cm="1">
        <f t="array" ref="J8">SUMPRODUCT(1*(Old85sTable[CONTRACTOR]=Trends[[#This Row],[CONTRACTOR]]), 1*(DATE(YEAR(Old85sTable[VANSCAN DATE]),MONTH(Old85sTable[VANSCAN DATE]),1)=DATE(YEAR(TODAY()),MONTH(TODAY())-6, 1)))</f>
        <v>0</v>
      </c>
      <c r="K8" cm="1">
        <f t="array" ref="K8">SUMPRODUCT(1*(Old85sTable[CONTRACTOR]=Trends[[#This Row],[CONTRACTOR]]), 1*(DATE(YEAR(Old85sTable[VANSCAN DATE]),MONTH(Old85sTable[VANSCAN DATE]),1)=DATE(YEAR(TODAY()),MONTH(TODAY())-5, 1)))</f>
        <v>0</v>
      </c>
      <c r="L8" cm="1">
        <f t="array" ref="L8">SUMPRODUCT(1*(Old85sTable[CONTRACTOR]=Trends[[#This Row],[CONTRACTOR]]), 1*(DATE(YEAR(Old85sTable[VANSCAN DATE]),MONTH(Old85sTable[VANSCAN DATE]),1)=DATE(YEAR(TODAY()),MONTH(TODAY())-4, 1)))</f>
        <v>0</v>
      </c>
      <c r="M8" cm="1">
        <f t="array" ref="M8">SUMPRODUCT(1*(Old85sTable[CONTRACTOR]=Trends[[#This Row],[CONTRACTOR]]), 1*(DATE(YEAR(Old85sTable[VANSCAN DATE]),MONTH(Old85sTable[VANSCAN DATE]),1)=DATE(YEAR(TODAY()),MONTH(TODAY())-3, 1)))</f>
        <v>0</v>
      </c>
      <c r="N8" cm="1">
        <f t="array" ref="N8">SUMPRODUCT(1*(Old85sTable[CONTRACTOR]=Trends[[#This Row],[CONTRACTOR]]), 1*(DATE(YEAR(Old85sTable[VANSCAN DATE]),MONTH(Old85sTable[VANSCAN DATE]),1)=DATE(YEAR(TODAY()),MONTH(TODAY())-2, 1)))</f>
        <v>0</v>
      </c>
      <c r="O8" cm="1">
        <f t="array" ref="O8">SUMPRODUCT(1*(Old85sTable[CONTRACTOR]=Trends[[#This Row],[CONTRACTOR]]), 1*(DATE(YEAR(Old85sTable[VANSCAN DATE]),MONTH(Old85sTable[VANSCAN DATE]),1)=DATE(YEAR(TODAY()),MONTH(TODAY())-1, 1)))</f>
        <v>0</v>
      </c>
      <c r="P8" s="46" cm="1">
        <f t="array" ref="P8">SUMPRODUCT(1*(Old85sTable[CONTRACTOR]=Trends[[#This Row],[CONTRACTOR]]), 1*(DATE(YEAR(Old85sTable[VANSCAN DATE]),MONTH(Old85sTable[VANSCAN DATE]),1)=DATE(YEAR(TODAY()),MONTH(TODAY())-0, 1))) + Trends[[#This Row],[Unresolved]]</f>
        <v>10</v>
      </c>
      <c r="Q8" s="46" cm="1">
        <f t="array" ref="Q8">SUMPRODUCT(1*(Outstanding[CONTRACTOR]=Trends[[#This Row],[CONTRACTOR]]))</f>
        <v>10</v>
      </c>
    </row>
    <row r="9" spans="1:17" x14ac:dyDescent="0.25">
      <c r="A9" s="9">
        <v>304884</v>
      </c>
      <c r="B9" s="9" t="s">
        <v>415</v>
      </c>
      <c r="C9">
        <f>COUNTIFS(Old85sTable[CONTRACTOR],Trends[[#This Row],[CONTRACTOR]],Old85sTable[VANSCAN DATE],"&gt;"&amp;TODAY()-365)</f>
        <v>19</v>
      </c>
      <c r="D9" cm="1">
        <f t="array" ref="D9">SUMPRODUCT(1*(Old85sTable[CONTRACTOR]=Trends[[#This Row],[CONTRACTOR]]), 1*(DATE(YEAR(Old85sTable[VANSCAN DATE]),MONTH(Old85sTable[VANSCAN DATE]),1)=DATE(YEAR(TODAY()),MONTH(TODAY())-12, 1)))</f>
        <v>0</v>
      </c>
      <c r="E9" cm="1">
        <f t="array" ref="E9">SUMPRODUCT(1*(Old85sTable[CONTRACTOR]=Trends[[#This Row],[CONTRACTOR]]), 1*(DATE(YEAR(Old85sTable[VANSCAN DATE]),MONTH(Old85sTable[VANSCAN DATE]),1)=DATE(YEAR(TODAY()),MONTH(TODAY())-11, 1)))</f>
        <v>4</v>
      </c>
      <c r="F9" cm="1">
        <f t="array" ref="F9">SUMPRODUCT(1*(Old85sTable[CONTRACTOR]=Trends[[#This Row],[CONTRACTOR]]), 1*(DATE(YEAR(Old85sTable[VANSCAN DATE]),MONTH(Old85sTable[VANSCAN DATE]),1)=DATE(YEAR(TODAY()),MONTH(TODAY())-10, 1)))</f>
        <v>5</v>
      </c>
      <c r="G9" cm="1">
        <f t="array" ref="G9">SUMPRODUCT(1*(Old85sTable[CONTRACTOR]=Trends[[#This Row],[CONTRACTOR]]), 1*(DATE(YEAR(Old85sTable[VANSCAN DATE]),MONTH(Old85sTable[VANSCAN DATE]),1)=DATE(YEAR(TODAY()),MONTH(TODAY())-9, 1)))</f>
        <v>10</v>
      </c>
      <c r="H9" cm="1">
        <f t="array" ref="H9">SUMPRODUCT(1*(Old85sTable[CONTRACTOR]=Trends[[#This Row],[CONTRACTOR]]), 1*(DATE(YEAR(Old85sTable[VANSCAN DATE]),MONTH(Old85sTable[VANSCAN DATE]),1)=DATE(YEAR(TODAY()),MONTH(TODAY())-8, 1)))</f>
        <v>0</v>
      </c>
      <c r="I9" cm="1">
        <f t="array" ref="I9">SUMPRODUCT(1*(Old85sTable[CONTRACTOR]=Trends[[#This Row],[CONTRACTOR]]), 1*(DATE(YEAR(Old85sTable[VANSCAN DATE]),MONTH(Old85sTable[VANSCAN DATE]),1)=DATE(YEAR(TODAY()),MONTH(TODAY())-7, 1)))</f>
        <v>0</v>
      </c>
      <c r="J9" cm="1">
        <f t="array" ref="J9">SUMPRODUCT(1*(Old85sTable[CONTRACTOR]=Trends[[#This Row],[CONTRACTOR]]), 1*(DATE(YEAR(Old85sTable[VANSCAN DATE]),MONTH(Old85sTable[VANSCAN DATE]),1)=DATE(YEAR(TODAY()),MONTH(TODAY())-6, 1)))</f>
        <v>0</v>
      </c>
      <c r="K9" cm="1">
        <f t="array" ref="K9">SUMPRODUCT(1*(Old85sTable[CONTRACTOR]=Trends[[#This Row],[CONTRACTOR]]), 1*(DATE(YEAR(Old85sTable[VANSCAN DATE]),MONTH(Old85sTable[VANSCAN DATE]),1)=DATE(YEAR(TODAY()),MONTH(TODAY())-5, 1)))</f>
        <v>0</v>
      </c>
      <c r="L9" cm="1">
        <f t="array" ref="L9">SUMPRODUCT(1*(Old85sTable[CONTRACTOR]=Trends[[#This Row],[CONTRACTOR]]), 1*(DATE(YEAR(Old85sTable[VANSCAN DATE]),MONTH(Old85sTable[VANSCAN DATE]),1)=DATE(YEAR(TODAY()),MONTH(TODAY())-4, 1)))</f>
        <v>0</v>
      </c>
      <c r="M9" cm="1">
        <f t="array" ref="M9">SUMPRODUCT(1*(Old85sTable[CONTRACTOR]=Trends[[#This Row],[CONTRACTOR]]), 1*(DATE(YEAR(Old85sTable[VANSCAN DATE]),MONTH(Old85sTable[VANSCAN DATE]),1)=DATE(YEAR(TODAY()),MONTH(TODAY())-3, 1)))</f>
        <v>0</v>
      </c>
      <c r="N9" cm="1">
        <f t="array" ref="N9">SUMPRODUCT(1*(Old85sTable[CONTRACTOR]=Trends[[#This Row],[CONTRACTOR]]), 1*(DATE(YEAR(Old85sTable[VANSCAN DATE]),MONTH(Old85sTable[VANSCAN DATE]),1)=DATE(YEAR(TODAY()),MONTH(TODAY())-2, 1)))</f>
        <v>0</v>
      </c>
      <c r="O9" cm="1">
        <f t="array" ref="O9">SUMPRODUCT(1*(Old85sTable[CONTRACTOR]=Trends[[#This Row],[CONTRACTOR]]), 1*(DATE(YEAR(Old85sTable[VANSCAN DATE]),MONTH(Old85sTable[VANSCAN DATE]),1)=DATE(YEAR(TODAY()),MONTH(TODAY())-1, 1)))</f>
        <v>0</v>
      </c>
      <c r="P9" s="46" cm="1">
        <f t="array" ref="P9">SUMPRODUCT(1*(Old85sTable[CONTRACTOR]=Trends[[#This Row],[CONTRACTOR]]), 1*(DATE(YEAR(Old85sTable[VANSCAN DATE]),MONTH(Old85sTable[VANSCAN DATE]),1)=DATE(YEAR(TODAY()),MONTH(TODAY())-0, 1))) + Trends[[#This Row],[Unresolved]]</f>
        <v>5</v>
      </c>
      <c r="Q9" s="46" cm="1">
        <f t="array" ref="Q9">SUMPRODUCT(1*(Outstanding[CONTRACTOR]=Trends[[#This Row],[CONTRACTOR]]))</f>
        <v>5</v>
      </c>
    </row>
    <row r="10" spans="1:17" x14ac:dyDescent="0.25">
      <c r="A10" s="9">
        <v>304881</v>
      </c>
      <c r="B10" s="9" t="s">
        <v>416</v>
      </c>
      <c r="C10">
        <f>COUNTIFS(Old85sTable[CONTRACTOR],Trends[[#This Row],[CONTRACTOR]],Old85sTable[VANSCAN DATE],"&gt;"&amp;TODAY()-365)</f>
        <v>14</v>
      </c>
      <c r="D10" cm="1">
        <f t="array" ref="D10">SUMPRODUCT(1*(Old85sTable[CONTRACTOR]=Trends[[#This Row],[CONTRACTOR]]), 1*(DATE(YEAR(Old85sTable[VANSCAN DATE]),MONTH(Old85sTable[VANSCAN DATE]),1)=DATE(YEAR(TODAY()),MONTH(TODAY())-12, 1)))</f>
        <v>0</v>
      </c>
      <c r="E10" cm="1">
        <f t="array" ref="E10">SUMPRODUCT(1*(Old85sTable[CONTRACTOR]=Trends[[#This Row],[CONTRACTOR]]), 1*(DATE(YEAR(Old85sTable[VANSCAN DATE]),MONTH(Old85sTable[VANSCAN DATE]),1)=DATE(YEAR(TODAY()),MONTH(TODAY())-11, 1)))</f>
        <v>1</v>
      </c>
      <c r="F10" cm="1">
        <f t="array" ref="F10">SUMPRODUCT(1*(Old85sTable[CONTRACTOR]=Trends[[#This Row],[CONTRACTOR]]), 1*(DATE(YEAR(Old85sTable[VANSCAN DATE]),MONTH(Old85sTable[VANSCAN DATE]),1)=DATE(YEAR(TODAY()),MONTH(TODAY())-10, 1)))</f>
        <v>0</v>
      </c>
      <c r="G10" cm="1">
        <f t="array" ref="G10">SUMPRODUCT(1*(Old85sTable[CONTRACTOR]=Trends[[#This Row],[CONTRACTOR]]), 1*(DATE(YEAR(Old85sTable[VANSCAN DATE]),MONTH(Old85sTable[VANSCAN DATE]),1)=DATE(YEAR(TODAY()),MONTH(TODAY())-9, 1)))</f>
        <v>13</v>
      </c>
      <c r="H10" cm="1">
        <f t="array" ref="H10">SUMPRODUCT(1*(Old85sTable[CONTRACTOR]=Trends[[#This Row],[CONTRACTOR]]), 1*(DATE(YEAR(Old85sTable[VANSCAN DATE]),MONTH(Old85sTable[VANSCAN DATE]),1)=DATE(YEAR(TODAY()),MONTH(TODAY())-8, 1)))</f>
        <v>0</v>
      </c>
      <c r="I10" cm="1">
        <f t="array" ref="I10">SUMPRODUCT(1*(Old85sTable[CONTRACTOR]=Trends[[#This Row],[CONTRACTOR]]), 1*(DATE(YEAR(Old85sTable[VANSCAN DATE]),MONTH(Old85sTable[VANSCAN DATE]),1)=DATE(YEAR(TODAY()),MONTH(TODAY())-7, 1)))</f>
        <v>0</v>
      </c>
      <c r="J10" cm="1">
        <f t="array" ref="J10">SUMPRODUCT(1*(Old85sTable[CONTRACTOR]=Trends[[#This Row],[CONTRACTOR]]), 1*(DATE(YEAR(Old85sTable[VANSCAN DATE]),MONTH(Old85sTable[VANSCAN DATE]),1)=DATE(YEAR(TODAY()),MONTH(TODAY())-6, 1)))</f>
        <v>0</v>
      </c>
      <c r="K10" cm="1">
        <f t="array" ref="K10">SUMPRODUCT(1*(Old85sTable[CONTRACTOR]=Trends[[#This Row],[CONTRACTOR]]), 1*(DATE(YEAR(Old85sTable[VANSCAN DATE]),MONTH(Old85sTable[VANSCAN DATE]),1)=DATE(YEAR(TODAY()),MONTH(TODAY())-5, 1)))</f>
        <v>0</v>
      </c>
      <c r="L10" cm="1">
        <f t="array" ref="L10">SUMPRODUCT(1*(Old85sTable[CONTRACTOR]=Trends[[#This Row],[CONTRACTOR]]), 1*(DATE(YEAR(Old85sTable[VANSCAN DATE]),MONTH(Old85sTable[VANSCAN DATE]),1)=DATE(YEAR(TODAY()),MONTH(TODAY())-4, 1)))</f>
        <v>0</v>
      </c>
      <c r="M10" cm="1">
        <f t="array" ref="M10">SUMPRODUCT(1*(Old85sTable[CONTRACTOR]=Trends[[#This Row],[CONTRACTOR]]), 1*(DATE(YEAR(Old85sTable[VANSCAN DATE]),MONTH(Old85sTable[VANSCAN DATE]),1)=DATE(YEAR(TODAY()),MONTH(TODAY())-3, 1)))</f>
        <v>0</v>
      </c>
      <c r="N10" cm="1">
        <f t="array" ref="N10">SUMPRODUCT(1*(Old85sTable[CONTRACTOR]=Trends[[#This Row],[CONTRACTOR]]), 1*(DATE(YEAR(Old85sTable[VANSCAN DATE]),MONTH(Old85sTable[VANSCAN DATE]),1)=DATE(YEAR(TODAY()),MONTH(TODAY())-2, 1)))</f>
        <v>0</v>
      </c>
      <c r="O10" cm="1">
        <f t="array" ref="O10">SUMPRODUCT(1*(Old85sTable[CONTRACTOR]=Trends[[#This Row],[CONTRACTOR]]), 1*(DATE(YEAR(Old85sTable[VANSCAN DATE]),MONTH(Old85sTable[VANSCAN DATE]),1)=DATE(YEAR(TODAY()),MONTH(TODAY())-1, 1)))</f>
        <v>0</v>
      </c>
      <c r="P10" s="46" cm="1">
        <f t="array" ref="P10">SUMPRODUCT(1*(Old85sTable[CONTRACTOR]=Trends[[#This Row],[CONTRACTOR]]), 1*(DATE(YEAR(Old85sTable[VANSCAN DATE]),MONTH(Old85sTable[VANSCAN DATE]),1)=DATE(YEAR(TODAY()),MONTH(TODAY())-0, 1))) + Trends[[#This Row],[Unresolved]]</f>
        <v>9</v>
      </c>
      <c r="Q10" s="46" cm="1">
        <f t="array" ref="Q10">SUMPRODUCT(1*(Outstanding[CONTRACTOR]=Trends[[#This Row],[CONTRACTOR]]))</f>
        <v>9</v>
      </c>
    </row>
    <row r="11" spans="1:17" x14ac:dyDescent="0.25">
      <c r="A11" t="s">
        <v>84</v>
      </c>
      <c r="B11" t="s">
        <v>84</v>
      </c>
      <c r="C11">
        <f>SUBTOTAL(109,Trends[Last 12 Months Total])</f>
        <v>135</v>
      </c>
      <c r="D11">
        <f>SUBTOTAL(109,Trends[12 Months Ago])</f>
        <v>0</v>
      </c>
      <c r="E11">
        <f>SUBTOTAL(109,Trends[11 Months Ago])</f>
        <v>28</v>
      </c>
      <c r="F11">
        <f>SUBTOTAL(109,Trends[10 Months Ago])</f>
        <v>22</v>
      </c>
      <c r="G11">
        <f>SUBTOTAL(109,Trends[9 Months Ago])</f>
        <v>85</v>
      </c>
      <c r="H11">
        <f>SUBTOTAL(109,Trends[8 Months Ago])</f>
        <v>0</v>
      </c>
      <c r="I11">
        <f>SUBTOTAL(109,Trends[7 Months Ago])</f>
        <v>0</v>
      </c>
      <c r="J11">
        <f>SUBTOTAL(109,Trends[6 Months Ago])</f>
        <v>0</v>
      </c>
      <c r="K11">
        <f>SUBTOTAL(109,Trends[5 Months Ago])</f>
        <v>0</v>
      </c>
      <c r="L11">
        <f>SUBTOTAL(109,Trends[4 Months Ago])</f>
        <v>0</v>
      </c>
      <c r="M11">
        <f>SUBTOTAL(109,Trends[3 Months Ago])</f>
        <v>0</v>
      </c>
      <c r="N11">
        <f>SUBTOTAL(109,Trends[2 Months Ago])</f>
        <v>0</v>
      </c>
      <c r="O11">
        <f>SUBTOTAL(109,Trends[Prev Month])</f>
        <v>0</v>
      </c>
      <c r="P11" s="46">
        <f>SUBTOTAL(109,Trends[Current Month])</f>
        <v>59</v>
      </c>
      <c r="Q11" s="46">
        <f>SUBTOTAL(109,Trends[Unresolved])</f>
        <v>59</v>
      </c>
    </row>
    <row r="12" spans="1:17" x14ac:dyDescent="0.25">
      <c r="C12" s="10"/>
      <c r="D12" s="48"/>
      <c r="E12" s="10"/>
    </row>
    <row r="13" spans="1:17" x14ac:dyDescent="0.25">
      <c r="C13" s="10"/>
      <c r="D13" s="48"/>
      <c r="E13" s="10"/>
    </row>
    <row r="14" spans="1:17" ht="45" x14ac:dyDescent="0.25">
      <c r="B14" s="45" t="s">
        <v>6</v>
      </c>
      <c r="C14" s="45" t="s">
        <v>85</v>
      </c>
      <c r="D14" s="45" t="s">
        <v>70</v>
      </c>
      <c r="E14" s="45" t="s">
        <v>71</v>
      </c>
      <c r="F14" s="45" t="s">
        <v>72</v>
      </c>
      <c r="G14" s="45" t="s">
        <v>73</v>
      </c>
      <c r="H14" s="45" t="s">
        <v>74</v>
      </c>
      <c r="I14" s="45" t="s">
        <v>75</v>
      </c>
      <c r="J14" s="45" t="s">
        <v>76</v>
      </c>
      <c r="K14" s="45" t="s">
        <v>77</v>
      </c>
      <c r="L14" s="45" t="s">
        <v>78</v>
      </c>
      <c r="M14" s="45" t="s">
        <v>79</v>
      </c>
      <c r="N14" s="45" t="s">
        <v>80</v>
      </c>
      <c r="O14" s="45" t="s">
        <v>81</v>
      </c>
      <c r="P14" s="45" t="s">
        <v>82</v>
      </c>
      <c r="Q14" s="45" t="s">
        <v>83</v>
      </c>
    </row>
    <row r="15" spans="1:17" x14ac:dyDescent="0.25">
      <c r="B15" s="9" t="s">
        <v>408</v>
      </c>
      <c r="C15" s="48" cm="1">
        <f t="array" ref="C15">SUMPRODUCT(1*(Old85sTable[CONTRACTOR]=Trends110[[#This Row],[CONTRACTOR]]),1*(Old85sTable[VANSCAN DATE]&gt;TODAY()-365),Old85sTable[RESPONSE TIME])/SUMPRODUCT(1*(Old85sTable[CONTRACTOR]=Trends110[[#This Row],[CONTRACTOR]]))</f>
        <v>15.241379310344827</v>
      </c>
      <c r="D15" s="123" cm="1">
        <f t="array" ref="D15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15" s="123" cm="1">
        <f t="array" ref="E15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7.2413793103448274</v>
      </c>
      <c r="F15" s="123" cm="1">
        <f t="array" ref="F15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6.068965517241379</v>
      </c>
      <c r="G15" s="123" cm="1">
        <f t="array" ref="G15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1.9310344827586208</v>
      </c>
      <c r="H15" s="123" cm="1">
        <f t="array" ref="H15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15" s="123" cm="1">
        <f t="array" ref="I15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15" s="123" cm="1">
        <f t="array" ref="J15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15" s="123" cm="1">
        <f t="array" ref="K15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15" s="123" cm="1">
        <f t="array" ref="L15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15" s="123" cm="1">
        <f t="array" ref="M15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15" s="123" cm="1">
        <f t="array" ref="N15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15" s="123" cm="1">
        <f t="array" ref="O15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15" s="123" cm="1">
        <f t="array" ref="P15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15" s="123" cm="1">
        <f t="array" ref="Q15">IFERROR(SUMPRODUCT(1*(Outstanding[CONTRACTOR]=Trends110[[#This Row],[CONTRACTOR]]),TODAY()-Outstanding[HANDSHEET ISSUE DATE])/SUMPRODUCT(1*(Outstanding[CONTRACTOR]=Trends110[[#This Row],[CONTRACTOR]])),0)</f>
        <v>8</v>
      </c>
    </row>
    <row r="16" spans="1:17" x14ac:dyDescent="0.25">
      <c r="B16" s="9" t="s">
        <v>409</v>
      </c>
      <c r="C16" s="48" cm="1">
        <f t="array" ref="C16">SUMPRODUCT(1*(Old85sTable[CONTRACTOR]=Trends110[[#This Row],[CONTRACTOR]]),1*(Old85sTable[VANSCAN DATE]&gt;TODAY()-365),Old85sTable[RESPONSE TIME])/SUMPRODUCT(1*(Old85sTable[CONTRACTOR]=Trends110[[#This Row],[CONTRACTOR]]))</f>
        <v>30</v>
      </c>
      <c r="D16" s="48" cm="1">
        <f t="array" ref="D16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16" s="48" cm="1">
        <f t="array" ref="E16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25</v>
      </c>
      <c r="F16" s="48" cm="1">
        <f t="array" ref="F16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5</v>
      </c>
      <c r="G16" s="48" cm="1">
        <f t="array" ref="G16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0</v>
      </c>
      <c r="H16" s="48" cm="1">
        <f t="array" ref="H16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16" s="48" cm="1">
        <f t="array" ref="I16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16" s="48" cm="1">
        <f t="array" ref="J16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16" s="48" cm="1">
        <f t="array" ref="K16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16" s="48" cm="1">
        <f t="array" ref="L16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16" s="48" cm="1">
        <f t="array" ref="M16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16" s="48" cm="1">
        <f t="array" ref="N16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16" s="48" cm="1">
        <f t="array" ref="O16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16" s="123" cm="1">
        <f t="array" ref="P16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16" s="123" cm="1">
        <f t="array" ref="Q16">IFERROR(SUMPRODUCT(1*(Outstanding[CONTRACTOR]=Trends110[[#This Row],[CONTRACTOR]]),TODAY()-Outstanding[HANDSHEET ISSUE DATE])/SUMPRODUCT(1*(Outstanding[CONTRACTOR]=Trends110[[#This Row],[CONTRACTOR]])),0)</f>
        <v>12.473684210526315</v>
      </c>
    </row>
    <row r="17" spans="2:17" x14ac:dyDescent="0.25">
      <c r="B17" s="9" t="s">
        <v>410</v>
      </c>
      <c r="C17" s="122" cm="1">
        <f t="array" ref="C17">SUMPRODUCT(1*(Old85sTable[CONTRACTOR]=Trends110[[#This Row],[CONTRACTOR]]),1*(Old85sTable[VANSCAN DATE]&gt;TODAY()-365),Old85sTable[RESPONSE TIME])/SUMPRODUCT(1*(Old85sTable[CONTRACTOR]=Trends110[[#This Row],[CONTRACTOR]]))</f>
        <v>7.666666666666667</v>
      </c>
      <c r="D17" s="48" cm="1">
        <f t="array" ref="D17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17" s="48" cm="1">
        <f t="array" ref="E17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0</v>
      </c>
      <c r="F17" s="48" cm="1">
        <f t="array" ref="F17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5.333333333333333</v>
      </c>
      <c r="G17" s="48" cm="1">
        <f t="array" ref="G17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2.3333333333333335</v>
      </c>
      <c r="H17" s="48" cm="1">
        <f t="array" ref="H17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17" s="48" cm="1">
        <f t="array" ref="I17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17" s="48" cm="1">
        <f t="array" ref="J17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17" s="48" cm="1">
        <f t="array" ref="K17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17" s="48" cm="1">
        <f t="array" ref="L17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17" s="48" cm="1">
        <f t="array" ref="M17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17" s="48" cm="1">
        <f t="array" ref="N17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17" s="48" cm="1">
        <f t="array" ref="O17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17" s="123" cm="1">
        <f t="array" ref="P17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17" s="123" cm="1">
        <f t="array" ref="Q17">IFERROR(SUMPRODUCT(1*(Outstanding[CONTRACTOR]=Trends110[[#This Row],[CONTRACTOR]]),TODAY()-Outstanding[HANDSHEET ISSUE DATE])/SUMPRODUCT(1*(Outstanding[CONTRACTOR]=Trends110[[#This Row],[CONTRACTOR]])),0)</f>
        <v>0</v>
      </c>
    </row>
    <row r="18" spans="2:17" x14ac:dyDescent="0.25">
      <c r="B18" s="9" t="s">
        <v>411</v>
      </c>
      <c r="C18" s="48" cm="1">
        <f t="array" ref="C18">SUMPRODUCT(1*(Old85sTable[CONTRACTOR]=Trends110[[#This Row],[CONTRACTOR]]),1*(Old85sTable[VANSCAN DATE]&gt;TODAY()-365),Old85sTable[RESPONSE TIME])/SUMPRODUCT(1*(Old85sTable[CONTRACTOR]=Trends110[[#This Row],[CONTRACTOR]]))</f>
        <v>7.8181818181818183</v>
      </c>
      <c r="D18" s="48" cm="1">
        <f t="array" ref="D18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18" s="48" cm="1">
        <f t="array" ref="E18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0</v>
      </c>
      <c r="F18" s="48" cm="1">
        <f t="array" ref="F18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5.3636363636363633</v>
      </c>
      <c r="G18" s="48" cm="1">
        <f t="array" ref="G18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2.4545454545454546</v>
      </c>
      <c r="H18" s="48" cm="1">
        <f t="array" ref="H18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18" s="48" cm="1">
        <f t="array" ref="I18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18" s="48" cm="1">
        <f t="array" ref="J18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18" s="48" cm="1">
        <f t="array" ref="K18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18" s="48" cm="1">
        <f t="array" ref="L18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18" s="48" cm="1">
        <f t="array" ref="M18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18" s="48" cm="1">
        <f t="array" ref="N18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18" s="48" cm="1">
        <f t="array" ref="O18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18" s="123" cm="1">
        <f t="array" ref="P18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18" s="123" cm="1">
        <f t="array" ref="Q18">IFERROR(SUMPRODUCT(1*(Outstanding[CONTRACTOR]=Trends110[[#This Row],[CONTRACTOR]]),TODAY()-Outstanding[HANDSHEET ISSUE DATE])/SUMPRODUCT(1*(Outstanding[CONTRACTOR]=Trends110[[#This Row],[CONTRACTOR]])),0)</f>
        <v>8</v>
      </c>
    </row>
    <row r="19" spans="2:17" x14ac:dyDescent="0.25">
      <c r="B19" s="9" t="s">
        <v>412</v>
      </c>
      <c r="C19" s="48" cm="1">
        <f t="array" ref="C19">SUMPRODUCT(1*(Old85sTable[CONTRACTOR]=Trends110[[#This Row],[CONTRACTOR]]),1*(Old85sTable[VANSCAN DATE]&gt;TODAY()-365),Old85sTable[RESPONSE TIME])/SUMPRODUCT(1*(Old85sTable[CONTRACTOR]=Trends110[[#This Row],[CONTRACTOR]]))</f>
        <v>1.3333333333333333</v>
      </c>
      <c r="D19" s="48" cm="1">
        <f t="array" ref="D19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19" s="48" cm="1">
        <f t="array" ref="E19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0</v>
      </c>
      <c r="F19" s="48" cm="1">
        <f t="array" ref="F19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0</v>
      </c>
      <c r="G19" s="48" cm="1">
        <f t="array" ref="G19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1.3333333333333333</v>
      </c>
      <c r="H19" s="48" cm="1">
        <f t="array" ref="H19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19" s="48" cm="1">
        <f t="array" ref="I19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19" s="48" cm="1">
        <f t="array" ref="J19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19" s="48" cm="1">
        <f t="array" ref="K19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19" s="48" cm="1">
        <f t="array" ref="L19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19" s="48" cm="1">
        <f t="array" ref="M19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19" s="48" cm="1">
        <f t="array" ref="N19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19" s="48" cm="1">
        <f t="array" ref="O19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19" s="123" cm="1">
        <f t="array" ref="P19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19" s="123" cm="1">
        <f t="array" ref="Q19">IFERROR(SUMPRODUCT(1*(Outstanding[CONTRACTOR]=Trends110[[#This Row],[CONTRACTOR]]),TODAY()-Outstanding[HANDSHEET ISSUE DATE])/SUMPRODUCT(1*(Outstanding[CONTRACTOR]=Trends110[[#This Row],[CONTRACTOR]])),0)</f>
        <v>7.333333333333333</v>
      </c>
    </row>
    <row r="20" spans="2:17" x14ac:dyDescent="0.25">
      <c r="B20" s="9" t="s">
        <v>413</v>
      </c>
      <c r="C20" s="48" cm="1">
        <f t="array" ref="C20">SUMPRODUCT(1*(Old85sTable[CONTRACTOR]=Trends110[[#This Row],[CONTRACTOR]]),1*(Old85sTable[VANSCAN DATE]&gt;TODAY()-365),Old85sTable[RESPONSE TIME])/SUMPRODUCT(1*(Old85sTable[CONTRACTOR]=Trends110[[#This Row],[CONTRACTOR]]))</f>
        <v>5</v>
      </c>
      <c r="D20" s="48" cm="1">
        <f t="array" ref="D20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20" s="48" cm="1">
        <f t="array" ref="E20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4.2857142857142856</v>
      </c>
      <c r="F20" s="48" cm="1">
        <f t="array" ref="F20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0</v>
      </c>
      <c r="G20" s="48" cm="1">
        <f t="array" ref="G20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0.7142857142857143</v>
      </c>
      <c r="H20" s="48" cm="1">
        <f t="array" ref="H20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20" s="48" cm="1">
        <f t="array" ref="I20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20" s="48" cm="1">
        <f t="array" ref="J20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20" s="48" cm="1">
        <f t="array" ref="K20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20" s="48" cm="1">
        <f t="array" ref="L20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20" s="48" cm="1">
        <f t="array" ref="M20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20" s="48" cm="1">
        <f t="array" ref="N20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20" s="48" cm="1">
        <f t="array" ref="O20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20" s="123" cm="1">
        <f t="array" ref="P20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20" s="123" cm="1">
        <f t="array" ref="Q20">IFERROR(SUMPRODUCT(1*(Outstanding[CONTRACTOR]=Trends110[[#This Row],[CONTRACTOR]]),TODAY()-Outstanding[HANDSHEET ISSUE DATE])/SUMPRODUCT(1*(Outstanding[CONTRACTOR]=Trends110[[#This Row],[CONTRACTOR]])),0)</f>
        <v>11.5</v>
      </c>
    </row>
    <row r="21" spans="2:17" x14ac:dyDescent="0.25">
      <c r="B21" s="9" t="s">
        <v>414</v>
      </c>
      <c r="C21" s="48" cm="1">
        <f t="array" ref="C21">SUMPRODUCT(1*(Old85sTable[CONTRACTOR]=Trends110[[#This Row],[CONTRACTOR]]),1*(Old85sTable[VANSCAN DATE]&gt;TODAY()-365),Old85sTable[RESPONSE TIME])/SUMPRODUCT(1*(Old85sTable[CONTRACTOR]=Trends110[[#This Row],[CONTRACTOR]]))</f>
        <v>4.7142857142857144</v>
      </c>
      <c r="D21" s="48" cm="1">
        <f t="array" ref="D21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21" s="48" cm="1">
        <f t="array" ref="E21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0</v>
      </c>
      <c r="F21" s="48" cm="1">
        <f t="array" ref="F21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0</v>
      </c>
      <c r="G21" s="48" cm="1">
        <f t="array" ref="G21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4.7142857142857144</v>
      </c>
      <c r="H21" s="48" cm="1">
        <f t="array" ref="H21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21" s="48" cm="1">
        <f t="array" ref="I21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21" s="48" cm="1">
        <f t="array" ref="J21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21" s="48" cm="1">
        <f t="array" ref="K21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21" s="48" cm="1">
        <f t="array" ref="L21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21" s="48" cm="1">
        <f t="array" ref="M21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21" s="48" cm="1">
        <f t="array" ref="N21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21" s="48" cm="1">
        <f t="array" ref="O21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21" s="123" cm="1">
        <f t="array" ref="P21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21" s="123" cm="1">
        <f t="array" ref="Q21">IFERROR(SUMPRODUCT(1*(Outstanding[CONTRACTOR]=Trends110[[#This Row],[CONTRACTOR]]),TODAY()-Outstanding[HANDSHEET ISSUE DATE])/SUMPRODUCT(1*(Outstanding[CONTRACTOR]=Trends110[[#This Row],[CONTRACTOR]])),0)</f>
        <v>15.3</v>
      </c>
    </row>
    <row r="22" spans="2:17" x14ac:dyDescent="0.25">
      <c r="B22" s="9" t="s">
        <v>415</v>
      </c>
      <c r="C22" s="48" cm="1">
        <f t="array" ref="C22">SUMPRODUCT(1*(Old85sTable[CONTRACTOR]=Trends110[[#This Row],[CONTRACTOR]]),1*(Old85sTable[VANSCAN DATE]&gt;TODAY()-365),Old85sTable[RESPONSE TIME])/SUMPRODUCT(1*(Old85sTable[CONTRACTOR]=Trends110[[#This Row],[CONTRACTOR]]))</f>
        <v>6.5789473684210522</v>
      </c>
      <c r="D22" s="48" cm="1">
        <f t="array" ref="D22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22" s="48" cm="1">
        <f t="array" ref="E22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1.2105263157894737</v>
      </c>
      <c r="F22" s="48" cm="1">
        <f t="array" ref="F22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2.8421052631578947</v>
      </c>
      <c r="G22" s="48" cm="1">
        <f t="array" ref="G22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2.5263157894736841</v>
      </c>
      <c r="H22" s="48" cm="1">
        <f t="array" ref="H22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22" s="48" cm="1">
        <f t="array" ref="I22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22" s="48" cm="1">
        <f t="array" ref="J22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22" s="48" cm="1">
        <f t="array" ref="K22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22" s="48" cm="1">
        <f t="array" ref="L22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22" s="48" cm="1">
        <f t="array" ref="M22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22" s="48" cm="1">
        <f t="array" ref="N22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22" s="48" cm="1">
        <f t="array" ref="O22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22" s="123" cm="1">
        <f t="array" ref="P22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22" s="123" cm="1">
        <f t="array" ref="Q22">IFERROR(SUMPRODUCT(1*(Outstanding[CONTRACTOR]=Trends110[[#This Row],[CONTRACTOR]]),TODAY()-Outstanding[HANDSHEET ISSUE DATE])/SUMPRODUCT(1*(Outstanding[CONTRACTOR]=Trends110[[#This Row],[CONTRACTOR]])),0)</f>
        <v>22</v>
      </c>
    </row>
    <row r="23" spans="2:17" x14ac:dyDescent="0.25">
      <c r="B23" s="9" t="s">
        <v>416</v>
      </c>
      <c r="C23" s="48" cm="1">
        <f t="array" ref="C23">SUMPRODUCT(1*(Old85sTable[CONTRACTOR]=Trends110[[#This Row],[CONTRACTOR]]),1*(Old85sTable[VANSCAN DATE]&gt;TODAY()-365),Old85sTable[RESPONSE TIME])/SUMPRODUCT(1*(Old85sTable[CONTRACTOR]=Trends110[[#This Row],[CONTRACTOR]]))</f>
        <v>4.8571428571428568</v>
      </c>
      <c r="D23" s="48" cm="1">
        <f t="array" ref="D23">SUMPRODUCT(1*(Old85sTable[CONTRACTOR]=Trends110[[#This Row],[CONTRACTOR]]), 1*(DATE(YEAR(Old85sTable[VANSCAN DATE]),MONTH(Old85sTable[VANSCAN DATE]),1)=DATE(YEAR(TODAY()),MONTH(TODAY())-12, 1)),Old85sTable[RESPONSE TIME])/SUMPRODUCT(1*(Old85sTable[CONTRACTOR]=Trends110[[#This Row],[CONTRACTOR]]))</f>
        <v>0</v>
      </c>
      <c r="E23" s="48" cm="1">
        <f t="array" ref="E23">SUMPRODUCT(1*(Old85sTable[CONTRACTOR]=Trends110[[#This Row],[CONTRACTOR]]), 1*(DATE(YEAR(Old85sTable[VANSCAN DATE]),MONTH(Old85sTable[VANSCAN DATE]),1)=DATE(YEAR(TODAY()),MONTH(TODAY())-11, 1)),Old85sTable[RESPONSE TIME])/SUMPRODUCT(1*(Old85sTable[CONTRACTOR]=Trends110[[#This Row],[CONTRACTOR]]))</f>
        <v>2.1428571428571428</v>
      </c>
      <c r="F23" s="48" cm="1">
        <f t="array" ref="F23">SUMPRODUCT(1*(Old85sTable[CONTRACTOR]=Trends110[[#This Row],[CONTRACTOR]]), 1*(DATE(YEAR(Old85sTable[VANSCAN DATE]),MONTH(Old85sTable[VANSCAN DATE]),1)=DATE(YEAR(TODAY()),MONTH(TODAY())-10, 1)),Old85sTable[RESPONSE TIME])/SUMPRODUCT(1*(Old85sTable[CONTRACTOR]=Trends110[[#This Row],[CONTRACTOR]]))</f>
        <v>0</v>
      </c>
      <c r="G23" s="48" cm="1">
        <f t="array" ref="G23">SUMPRODUCT(1*(Old85sTable[CONTRACTOR]=Trends110[[#This Row],[CONTRACTOR]]), 1*(DATE(YEAR(Old85sTable[VANSCAN DATE]),MONTH(Old85sTable[VANSCAN DATE]),1)=DATE(YEAR(TODAY()),MONTH(TODAY())-9, 1)),Old85sTable[RESPONSE TIME])/SUMPRODUCT(1*(Old85sTable[CONTRACTOR]=Trends110[[#This Row],[CONTRACTOR]]))</f>
        <v>2.7142857142857144</v>
      </c>
      <c r="H23" s="48" cm="1">
        <f t="array" ref="H23">SUMPRODUCT(1*(Old85sTable[CONTRACTOR]=Trends110[[#This Row],[CONTRACTOR]]), 1*(DATE(YEAR(Old85sTable[VANSCAN DATE]),MONTH(Old85sTable[VANSCAN DATE]),1)=DATE(YEAR(TODAY()),MONTH(TODAY())-8, 1)),Old85sTable[RESPONSE TIME])/SUMPRODUCT(1*(Old85sTable[CONTRACTOR]=Trends110[[#This Row],[CONTRACTOR]]))</f>
        <v>0</v>
      </c>
      <c r="I23" s="48" cm="1">
        <f t="array" ref="I23">SUMPRODUCT(1*(Old85sTable[CONTRACTOR]=Trends110[[#This Row],[CONTRACTOR]]), 1*(DATE(YEAR(Old85sTable[VANSCAN DATE]),MONTH(Old85sTable[VANSCAN DATE]),1)=DATE(YEAR(TODAY()),MONTH(TODAY())-7, 1)),Old85sTable[RESPONSE TIME])/SUMPRODUCT(1*(Old85sTable[CONTRACTOR]=Trends110[[#This Row],[CONTRACTOR]]))</f>
        <v>0</v>
      </c>
      <c r="J23" s="48" cm="1">
        <f t="array" ref="J23">SUMPRODUCT(1*(Old85sTable[CONTRACTOR]=Trends110[[#This Row],[CONTRACTOR]]), 1*(DATE(YEAR(Old85sTable[VANSCAN DATE]),MONTH(Old85sTable[VANSCAN DATE]),1)=DATE(YEAR(TODAY()),MONTH(TODAY())-6, 1)),Old85sTable[RESPONSE TIME])/SUMPRODUCT(1*(Old85sTable[CONTRACTOR]=Trends110[[#This Row],[CONTRACTOR]]))</f>
        <v>0</v>
      </c>
      <c r="K23" s="48" cm="1">
        <f t="array" ref="K23">SUMPRODUCT(1*(Old85sTable[CONTRACTOR]=Trends110[[#This Row],[CONTRACTOR]]), 1*(DATE(YEAR(Old85sTable[VANSCAN DATE]),MONTH(Old85sTable[VANSCAN DATE]),1)=DATE(YEAR(TODAY()),MONTH(TODAY())-5, 1)),Old85sTable[RESPONSE TIME])/SUMPRODUCT(1*(Old85sTable[CONTRACTOR]=Trends110[[#This Row],[CONTRACTOR]]))</f>
        <v>0</v>
      </c>
      <c r="L23" s="48" cm="1">
        <f t="array" ref="L23">SUMPRODUCT(1*(Old85sTable[CONTRACTOR]=Trends110[[#This Row],[CONTRACTOR]]), 1*(DATE(YEAR(Old85sTable[VANSCAN DATE]),MONTH(Old85sTable[VANSCAN DATE]),1)=DATE(YEAR(TODAY()),MONTH(TODAY())-4, 1)),Old85sTable[RESPONSE TIME])/SUMPRODUCT(1*(Old85sTable[CONTRACTOR]=Trends110[[#This Row],[CONTRACTOR]]))</f>
        <v>0</v>
      </c>
      <c r="M23" s="48" cm="1">
        <f t="array" ref="M23">SUMPRODUCT(1*(Old85sTable[CONTRACTOR]=Trends110[[#This Row],[CONTRACTOR]]), 1*(DATE(YEAR(Old85sTable[VANSCAN DATE]),MONTH(Old85sTable[VANSCAN DATE]),1)=DATE(YEAR(TODAY()),MONTH(TODAY())-3, 1)),Old85sTable[RESPONSE TIME])/SUMPRODUCT(1*(Old85sTable[CONTRACTOR]=Trends110[[#This Row],[CONTRACTOR]]))</f>
        <v>0</v>
      </c>
      <c r="N23" s="48" cm="1">
        <f t="array" ref="N23">SUMPRODUCT(1*(Old85sTable[CONTRACTOR]=Trends110[[#This Row],[CONTRACTOR]]), 1*(DATE(YEAR(Old85sTable[VANSCAN DATE]),MONTH(Old85sTable[VANSCAN DATE]),1)=DATE(YEAR(TODAY()),MONTH(TODAY())-2, 1)),Old85sTable[RESPONSE TIME])/SUMPRODUCT(1*(Old85sTable[CONTRACTOR]=Trends110[[#This Row],[CONTRACTOR]]))</f>
        <v>0</v>
      </c>
      <c r="O23" s="48" cm="1">
        <f t="array" ref="O23">SUMPRODUCT(1*(Old85sTable[CONTRACTOR]=Trends110[[#This Row],[CONTRACTOR]]), 1*(DATE(YEAR(Old85sTable[VANSCAN DATE]),MONTH(Old85sTable[VANSCAN DATE]),1)=DATE(YEAR(TODAY()),MONTH(TODAY())-1, 1)),Old85sTable[RESPONSE TIME])/SUMPRODUCT(1*(Old85sTable[CONTRACTOR]=Trends110[[#This Row],[CONTRACTOR]]))</f>
        <v>0</v>
      </c>
      <c r="P23" s="123" cm="1">
        <f t="array" ref="P23">SUMPRODUCT(1*(Old85sTable[CONTRACTOR]=Trends110[[#This Row],[CONTRACTOR]]), 1*(DATE(YEAR(Old85sTable[VANSCAN DATE]),MONTH(Old85sTable[VANSCAN DATE]),1)=DATE(YEAR(TODAY()),MONTH(TODAY())-0, 1)),Old85sTable[RESPONSE TIME])/SUMPRODUCT(1*(Old85sTable[CONTRACTOR]=Trends110[[#This Row],[CONTRACTOR]]))</f>
        <v>0</v>
      </c>
      <c r="Q23" s="123" cm="1">
        <f t="array" ref="Q23">IFERROR(SUMPRODUCT(1*(Outstanding[CONTRACTOR]=Trends110[[#This Row],[CONTRACTOR]]),TODAY()-Outstanding[HANDSHEET ISSUE DATE])/SUMPRODUCT(1*(Outstanding[CONTRACTOR]=Trends110[[#This Row],[CONTRACTOR]])),0)</f>
        <v>6</v>
      </c>
    </row>
    <row r="24" spans="2:17" x14ac:dyDescent="0.25">
      <c r="B24" t="s">
        <v>84</v>
      </c>
      <c r="C24" s="48">
        <f>SUBTOTAL(101,Trends110[Last 12 Months Average])</f>
        <v>9.2455485631529175</v>
      </c>
      <c r="D24" s="48">
        <f>SUBTOTAL(101,Trends110[12 Months Ago])</f>
        <v>0</v>
      </c>
      <c r="E24" s="48">
        <f>SUBTOTAL(101,Trends110[11 Months Ago])</f>
        <v>4.4311641171895255</v>
      </c>
      <c r="F24" s="48">
        <f>SUBTOTAL(101,Trends110[10 Months Ago])</f>
        <v>2.7342267197076633</v>
      </c>
      <c r="G24" s="48">
        <f>SUBTOTAL(101,Trends110[9 Months Ago])</f>
        <v>2.08015772625573</v>
      </c>
      <c r="H24" s="48">
        <f>SUBTOTAL(101,Trends110[8 Months Ago])</f>
        <v>0</v>
      </c>
      <c r="I24" s="48">
        <f>SUBTOTAL(101,Trends110[7 Months Ago])</f>
        <v>0</v>
      </c>
      <c r="J24" s="48">
        <f>SUBTOTAL(101,Trends110[6 Months Ago])</f>
        <v>0</v>
      </c>
      <c r="K24" s="48">
        <f>SUBTOTAL(101,Trends110[5 Months Ago])</f>
        <v>0</v>
      </c>
      <c r="L24" s="48">
        <f>SUBTOTAL(101,Trends110[4 Months Ago])</f>
        <v>0</v>
      </c>
      <c r="M24" s="48">
        <f>SUBTOTAL(101,Trends110[3 Months Ago])</f>
        <v>0</v>
      </c>
      <c r="N24" s="48">
        <f>SUBTOTAL(101,Trends110[2 Months Ago])</f>
        <v>0</v>
      </c>
      <c r="O24" s="48">
        <f>SUBTOTAL(101,Trends110[Prev Month])</f>
        <v>0</v>
      </c>
      <c r="P24" s="48">
        <f>SUBTOTAL(101,Trends110[Current Month])</f>
        <v>0</v>
      </c>
      <c r="Q24" s="48">
        <f>SUBTOTAL(101,Trends110[Unresolved])</f>
        <v>10.067446393762184</v>
      </c>
    </row>
    <row r="26" spans="2:17" x14ac:dyDescent="0.25">
      <c r="C26" t="s">
        <v>934</v>
      </c>
    </row>
    <row r="30" spans="2:17" x14ac:dyDescent="0.25">
      <c r="O30" s="10"/>
    </row>
  </sheetData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eet4.RecalculateButton">
                <anchor moveWithCells="1" sizeWithCells="1">
                  <from>
                    <xdr:col>17</xdr:col>
                    <xdr:colOff>161925</xdr:colOff>
                    <xdr:row>0</xdr:row>
                    <xdr:rowOff>85725</xdr:rowOff>
                  </from>
                  <to>
                    <xdr:col>19</xdr:col>
                    <xdr:colOff>123825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B82DB-BDB2-4FA5-82BD-B3D0E9E49097}">
  <sheetPr codeName="Sheet5"/>
  <dimension ref="A1:F2110"/>
  <sheetViews>
    <sheetView workbookViewId="0">
      <pane ySplit="1" topLeftCell="A2067" activePane="bottomLeft" state="frozen"/>
      <selection pane="bottomLeft" activeCell="K2072" sqref="K2072"/>
    </sheetView>
  </sheetViews>
  <sheetFormatPr defaultRowHeight="15" x14ac:dyDescent="0.25"/>
  <cols>
    <col min="1" max="1" width="10.7109375" bestFit="1" customWidth="1"/>
    <col min="2" max="2" width="7" bestFit="1" customWidth="1"/>
    <col min="3" max="3" width="14.85546875" bestFit="1" customWidth="1"/>
    <col min="4" max="4" width="32" customWidth="1"/>
    <col min="5" max="5" width="6.5703125" bestFit="1" customWidth="1"/>
    <col min="6" max="6" width="3" bestFit="1" customWidth="1"/>
  </cols>
  <sheetData>
    <row r="1" spans="1:6" ht="22.5" customHeight="1" x14ac:dyDescent="0.25">
      <c r="A1" s="9" t="s">
        <v>86</v>
      </c>
      <c r="B1" s="9" t="s">
        <v>68</v>
      </c>
      <c r="C1" s="9" t="s">
        <v>87</v>
      </c>
      <c r="D1" s="9" t="s">
        <v>88</v>
      </c>
      <c r="E1" s="9" t="s">
        <v>89</v>
      </c>
      <c r="F1">
        <v>30</v>
      </c>
    </row>
    <row r="2" spans="1:6" x14ac:dyDescent="0.25">
      <c r="A2" s="10">
        <v>44403</v>
      </c>
      <c r="B2">
        <v>304988</v>
      </c>
      <c r="C2">
        <v>432600</v>
      </c>
      <c r="D2" t="s">
        <v>417</v>
      </c>
      <c r="E2">
        <v>124</v>
      </c>
    </row>
    <row r="3" spans="1:6" x14ac:dyDescent="0.25">
      <c r="A3" s="10">
        <v>44403</v>
      </c>
      <c r="B3">
        <v>304988</v>
      </c>
      <c r="C3">
        <v>432595</v>
      </c>
      <c r="D3" t="s">
        <v>418</v>
      </c>
      <c r="E3">
        <v>128</v>
      </c>
    </row>
    <row r="4" spans="1:6" x14ac:dyDescent="0.25">
      <c r="A4" s="10">
        <v>44403</v>
      </c>
      <c r="B4">
        <v>304886</v>
      </c>
      <c r="C4" t="s">
        <v>141</v>
      </c>
      <c r="D4" t="s">
        <v>419</v>
      </c>
      <c r="E4">
        <v>132</v>
      </c>
    </row>
    <row r="5" spans="1:6" x14ac:dyDescent="0.25">
      <c r="A5" s="10">
        <v>44403</v>
      </c>
      <c r="B5">
        <v>304988</v>
      </c>
      <c r="C5">
        <v>84334</v>
      </c>
      <c r="D5" t="s">
        <v>420</v>
      </c>
      <c r="E5">
        <v>136</v>
      </c>
    </row>
    <row r="6" spans="1:6" x14ac:dyDescent="0.25">
      <c r="A6" s="10">
        <v>44403</v>
      </c>
      <c r="B6">
        <v>304988</v>
      </c>
      <c r="C6" t="s">
        <v>162</v>
      </c>
      <c r="D6" t="s">
        <v>421</v>
      </c>
      <c r="E6">
        <v>140</v>
      </c>
    </row>
    <row r="7" spans="1:6" x14ac:dyDescent="0.25">
      <c r="A7" s="10">
        <v>44403</v>
      </c>
      <c r="B7">
        <v>304887</v>
      </c>
      <c r="C7" t="s">
        <v>163</v>
      </c>
      <c r="D7" t="s">
        <v>422</v>
      </c>
      <c r="E7">
        <v>144</v>
      </c>
    </row>
    <row r="8" spans="1:6" x14ac:dyDescent="0.25">
      <c r="A8" s="10">
        <v>44403</v>
      </c>
      <c r="B8">
        <v>304882</v>
      </c>
      <c r="C8">
        <v>317397</v>
      </c>
      <c r="D8" t="s">
        <v>423</v>
      </c>
      <c r="E8">
        <v>148</v>
      </c>
    </row>
    <row r="9" spans="1:6" x14ac:dyDescent="0.25">
      <c r="A9" s="10">
        <v>44403</v>
      </c>
      <c r="B9">
        <v>304887</v>
      </c>
      <c r="C9">
        <v>411264</v>
      </c>
      <c r="D9" t="s">
        <v>424</v>
      </c>
      <c r="E9">
        <v>152</v>
      </c>
    </row>
    <row r="10" spans="1:6" x14ac:dyDescent="0.25">
      <c r="A10" s="10">
        <v>44403</v>
      </c>
      <c r="B10">
        <v>304887</v>
      </c>
      <c r="C10">
        <v>431154</v>
      </c>
      <c r="D10" t="s">
        <v>425</v>
      </c>
      <c r="E10">
        <v>160</v>
      </c>
    </row>
    <row r="11" spans="1:6" x14ac:dyDescent="0.25">
      <c r="A11" s="10">
        <v>44403</v>
      </c>
      <c r="B11">
        <v>304887</v>
      </c>
      <c r="C11" t="s">
        <v>128</v>
      </c>
      <c r="D11" t="s">
        <v>426</v>
      </c>
      <c r="E11">
        <v>162</v>
      </c>
    </row>
    <row r="12" spans="1:6" x14ac:dyDescent="0.25">
      <c r="A12" s="10">
        <v>44403</v>
      </c>
      <c r="B12">
        <v>304887</v>
      </c>
      <c r="C12" t="s">
        <v>110</v>
      </c>
      <c r="D12" t="s">
        <v>427</v>
      </c>
      <c r="E12">
        <v>164</v>
      </c>
    </row>
    <row r="13" spans="1:6" x14ac:dyDescent="0.25">
      <c r="A13" s="10">
        <v>44403</v>
      </c>
      <c r="B13">
        <v>304887</v>
      </c>
      <c r="C13">
        <v>310852</v>
      </c>
      <c r="D13" t="s">
        <v>428</v>
      </c>
      <c r="E13">
        <v>117</v>
      </c>
    </row>
    <row r="14" spans="1:6" x14ac:dyDescent="0.25">
      <c r="A14" s="10">
        <v>44403</v>
      </c>
      <c r="B14">
        <v>304881</v>
      </c>
      <c r="C14">
        <v>434748</v>
      </c>
      <c r="D14" t="s">
        <v>429</v>
      </c>
      <c r="E14">
        <v>121</v>
      </c>
    </row>
    <row r="15" spans="1:6" x14ac:dyDescent="0.25">
      <c r="A15" s="10">
        <v>44403</v>
      </c>
      <c r="B15">
        <v>304881</v>
      </c>
      <c r="C15">
        <v>424959</v>
      </c>
      <c r="D15" t="s">
        <v>430</v>
      </c>
      <c r="E15">
        <v>125</v>
      </c>
    </row>
    <row r="16" spans="1:6" x14ac:dyDescent="0.25">
      <c r="A16" s="10">
        <v>44403</v>
      </c>
      <c r="B16">
        <v>304887</v>
      </c>
      <c r="C16">
        <v>417342</v>
      </c>
      <c r="D16" t="s">
        <v>431</v>
      </c>
      <c r="E16">
        <v>129</v>
      </c>
    </row>
    <row r="17" spans="1:5" x14ac:dyDescent="0.25">
      <c r="A17" s="10">
        <v>44403</v>
      </c>
      <c r="B17">
        <v>304882</v>
      </c>
      <c r="C17">
        <v>316421</v>
      </c>
      <c r="D17" t="s">
        <v>432</v>
      </c>
      <c r="E17">
        <v>133</v>
      </c>
    </row>
    <row r="18" spans="1:5" x14ac:dyDescent="0.25">
      <c r="A18" s="10">
        <v>44403</v>
      </c>
      <c r="B18">
        <v>304881</v>
      </c>
      <c r="C18">
        <v>404394</v>
      </c>
      <c r="D18" t="s">
        <v>433</v>
      </c>
      <c r="E18">
        <v>137</v>
      </c>
    </row>
    <row r="19" spans="1:5" x14ac:dyDescent="0.25">
      <c r="A19" s="10">
        <v>44403</v>
      </c>
      <c r="B19">
        <v>304887</v>
      </c>
      <c r="C19">
        <v>409256</v>
      </c>
      <c r="D19" t="s">
        <v>434</v>
      </c>
      <c r="E19">
        <v>141</v>
      </c>
    </row>
    <row r="20" spans="1:5" x14ac:dyDescent="0.25">
      <c r="A20" s="10">
        <v>44403</v>
      </c>
      <c r="B20">
        <v>304882</v>
      </c>
      <c r="C20" t="s">
        <v>119</v>
      </c>
      <c r="D20" t="s">
        <v>435</v>
      </c>
      <c r="E20">
        <v>145</v>
      </c>
    </row>
    <row r="21" spans="1:5" x14ac:dyDescent="0.25">
      <c r="A21" s="10">
        <v>44403</v>
      </c>
      <c r="B21">
        <v>304887</v>
      </c>
      <c r="C21">
        <v>404439</v>
      </c>
      <c r="D21" t="s">
        <v>436</v>
      </c>
      <c r="E21">
        <v>149</v>
      </c>
    </row>
    <row r="22" spans="1:5" x14ac:dyDescent="0.25">
      <c r="A22" s="10">
        <v>44403</v>
      </c>
      <c r="B22">
        <v>304887</v>
      </c>
      <c r="C22">
        <v>417490</v>
      </c>
      <c r="D22" t="s">
        <v>437</v>
      </c>
      <c r="E22">
        <v>153</v>
      </c>
    </row>
    <row r="23" spans="1:5" x14ac:dyDescent="0.25">
      <c r="A23" s="10">
        <v>44403</v>
      </c>
      <c r="B23">
        <v>304887</v>
      </c>
      <c r="C23">
        <v>87502</v>
      </c>
      <c r="D23" t="s">
        <v>438</v>
      </c>
      <c r="E23">
        <v>157</v>
      </c>
    </row>
    <row r="24" spans="1:5" x14ac:dyDescent="0.25">
      <c r="A24" s="10">
        <v>44403</v>
      </c>
      <c r="B24">
        <v>304887</v>
      </c>
      <c r="C24">
        <v>431085</v>
      </c>
      <c r="D24" t="s">
        <v>439</v>
      </c>
      <c r="E24">
        <v>161</v>
      </c>
    </row>
    <row r="25" spans="1:5" x14ac:dyDescent="0.25">
      <c r="A25" s="10">
        <v>44403</v>
      </c>
      <c r="B25">
        <v>304882</v>
      </c>
      <c r="C25">
        <v>320300</v>
      </c>
      <c r="D25" t="s">
        <v>440</v>
      </c>
      <c r="E25">
        <v>165</v>
      </c>
    </row>
    <row r="26" spans="1:5" x14ac:dyDescent="0.25">
      <c r="A26" s="10">
        <v>44403</v>
      </c>
      <c r="B26">
        <v>304882</v>
      </c>
      <c r="C26" t="s">
        <v>164</v>
      </c>
      <c r="D26" t="s">
        <v>441</v>
      </c>
      <c r="E26">
        <v>169</v>
      </c>
    </row>
    <row r="27" spans="1:5" x14ac:dyDescent="0.25">
      <c r="A27" s="10">
        <v>44403</v>
      </c>
      <c r="B27">
        <v>304914</v>
      </c>
      <c r="C27">
        <v>307838</v>
      </c>
      <c r="D27" t="s">
        <v>442</v>
      </c>
      <c r="E27">
        <v>216</v>
      </c>
    </row>
    <row r="28" spans="1:5" x14ac:dyDescent="0.25">
      <c r="A28" s="10">
        <v>44403</v>
      </c>
      <c r="B28">
        <v>304914</v>
      </c>
      <c r="C28">
        <v>425044</v>
      </c>
      <c r="D28" t="s">
        <v>443</v>
      </c>
      <c r="E28">
        <v>224</v>
      </c>
    </row>
    <row r="29" spans="1:5" x14ac:dyDescent="0.25">
      <c r="A29" s="10">
        <v>44403</v>
      </c>
      <c r="B29">
        <v>304914</v>
      </c>
      <c r="C29">
        <v>425045</v>
      </c>
      <c r="D29" t="s">
        <v>444</v>
      </c>
      <c r="E29">
        <v>228</v>
      </c>
    </row>
    <row r="30" spans="1:5" x14ac:dyDescent="0.25">
      <c r="A30" s="10">
        <v>44403</v>
      </c>
      <c r="B30">
        <v>304914</v>
      </c>
      <c r="C30" t="s">
        <v>92</v>
      </c>
      <c r="D30" t="s">
        <v>445</v>
      </c>
      <c r="E30">
        <v>232</v>
      </c>
    </row>
    <row r="31" spans="1:5" x14ac:dyDescent="0.25">
      <c r="A31" s="10">
        <v>44403</v>
      </c>
      <c r="B31">
        <v>304914</v>
      </c>
      <c r="C31">
        <v>421733</v>
      </c>
      <c r="D31" t="s">
        <v>446</v>
      </c>
      <c r="E31">
        <v>236</v>
      </c>
    </row>
    <row r="32" spans="1:5" x14ac:dyDescent="0.25">
      <c r="A32" s="10">
        <v>44403</v>
      </c>
      <c r="B32">
        <v>304914</v>
      </c>
      <c r="C32">
        <v>421730</v>
      </c>
      <c r="D32" t="s">
        <v>447</v>
      </c>
      <c r="E32">
        <v>240</v>
      </c>
    </row>
    <row r="33" spans="1:5" x14ac:dyDescent="0.25">
      <c r="A33" s="10">
        <v>44403</v>
      </c>
      <c r="B33">
        <v>304914</v>
      </c>
      <c r="C33">
        <v>425046</v>
      </c>
      <c r="D33" t="s">
        <v>448</v>
      </c>
      <c r="E33">
        <v>244</v>
      </c>
    </row>
    <row r="34" spans="1:5" x14ac:dyDescent="0.25">
      <c r="A34" s="10">
        <v>44403</v>
      </c>
      <c r="B34">
        <v>304914</v>
      </c>
      <c r="C34">
        <v>439935</v>
      </c>
      <c r="D34" t="s">
        <v>449</v>
      </c>
      <c r="E34">
        <v>248</v>
      </c>
    </row>
    <row r="35" spans="1:5" x14ac:dyDescent="0.25">
      <c r="A35" s="10">
        <v>44403</v>
      </c>
      <c r="B35">
        <v>304914</v>
      </c>
      <c r="C35" t="s">
        <v>93</v>
      </c>
      <c r="D35" t="s">
        <v>450</v>
      </c>
      <c r="E35">
        <v>252</v>
      </c>
    </row>
    <row r="36" spans="1:5" x14ac:dyDescent="0.25">
      <c r="A36" s="10">
        <v>44403</v>
      </c>
      <c r="B36">
        <v>304885</v>
      </c>
      <c r="C36">
        <v>412667</v>
      </c>
      <c r="D36" t="s">
        <v>451</v>
      </c>
      <c r="E36">
        <v>256</v>
      </c>
    </row>
    <row r="37" spans="1:5" x14ac:dyDescent="0.25">
      <c r="A37" s="10">
        <v>44403</v>
      </c>
      <c r="B37">
        <v>304914</v>
      </c>
      <c r="C37" t="s">
        <v>94</v>
      </c>
      <c r="D37" t="s">
        <v>452</v>
      </c>
      <c r="E37">
        <v>260</v>
      </c>
    </row>
    <row r="38" spans="1:5" x14ac:dyDescent="0.25">
      <c r="A38" s="10">
        <v>44403</v>
      </c>
      <c r="B38">
        <v>304914</v>
      </c>
      <c r="C38">
        <v>262262</v>
      </c>
      <c r="D38" t="s">
        <v>453</v>
      </c>
      <c r="E38">
        <v>262</v>
      </c>
    </row>
    <row r="39" spans="1:5" x14ac:dyDescent="0.25">
      <c r="A39" s="10">
        <v>44403</v>
      </c>
      <c r="B39">
        <v>304914</v>
      </c>
      <c r="C39" t="s">
        <v>130</v>
      </c>
      <c r="D39" t="s">
        <v>454</v>
      </c>
      <c r="E39">
        <v>264</v>
      </c>
    </row>
    <row r="40" spans="1:5" x14ac:dyDescent="0.25">
      <c r="A40" s="10">
        <v>44403</v>
      </c>
      <c r="B40">
        <v>304914</v>
      </c>
      <c r="C40">
        <v>266266</v>
      </c>
      <c r="D40" t="s">
        <v>455</v>
      </c>
      <c r="E40">
        <v>266</v>
      </c>
    </row>
    <row r="41" spans="1:5" x14ac:dyDescent="0.25">
      <c r="A41" s="10">
        <v>44403</v>
      </c>
      <c r="B41">
        <v>304884</v>
      </c>
      <c r="C41">
        <v>99450</v>
      </c>
      <c r="D41" t="s">
        <v>456</v>
      </c>
      <c r="E41">
        <v>221</v>
      </c>
    </row>
    <row r="42" spans="1:5" x14ac:dyDescent="0.25">
      <c r="A42" s="10">
        <v>44403</v>
      </c>
      <c r="B42">
        <v>304884</v>
      </c>
      <c r="C42">
        <v>403441</v>
      </c>
      <c r="D42" t="s">
        <v>457</v>
      </c>
      <c r="E42">
        <v>225</v>
      </c>
    </row>
    <row r="43" spans="1:5" x14ac:dyDescent="0.25">
      <c r="A43" s="10">
        <v>44403</v>
      </c>
      <c r="B43">
        <v>304884</v>
      </c>
      <c r="C43">
        <v>425293</v>
      </c>
      <c r="D43" t="s">
        <v>458</v>
      </c>
      <c r="E43">
        <v>229</v>
      </c>
    </row>
    <row r="44" spans="1:5" x14ac:dyDescent="0.25">
      <c r="A44" s="10">
        <v>44403</v>
      </c>
      <c r="B44">
        <v>304988</v>
      </c>
      <c r="C44" t="s">
        <v>159</v>
      </c>
      <c r="D44" t="s">
        <v>459</v>
      </c>
      <c r="E44">
        <v>233</v>
      </c>
    </row>
    <row r="45" spans="1:5" x14ac:dyDescent="0.25">
      <c r="A45" s="10">
        <v>44403</v>
      </c>
      <c r="B45">
        <v>304988</v>
      </c>
      <c r="C45">
        <v>85227</v>
      </c>
      <c r="D45" t="s">
        <v>460</v>
      </c>
      <c r="E45">
        <v>237</v>
      </c>
    </row>
    <row r="46" spans="1:5" x14ac:dyDescent="0.25">
      <c r="A46" s="10">
        <v>44403</v>
      </c>
      <c r="B46">
        <v>304884</v>
      </c>
      <c r="C46">
        <v>423185</v>
      </c>
      <c r="D46" t="s">
        <v>461</v>
      </c>
      <c r="E46">
        <v>241</v>
      </c>
    </row>
    <row r="47" spans="1:5" x14ac:dyDescent="0.25">
      <c r="A47" s="10">
        <v>44403</v>
      </c>
      <c r="B47">
        <v>304882</v>
      </c>
      <c r="C47">
        <v>316420</v>
      </c>
      <c r="D47" t="s">
        <v>462</v>
      </c>
      <c r="E47">
        <v>245</v>
      </c>
    </row>
    <row r="48" spans="1:5" x14ac:dyDescent="0.25">
      <c r="A48" s="10">
        <v>44403</v>
      </c>
      <c r="B48">
        <v>304884</v>
      </c>
      <c r="C48">
        <v>314246</v>
      </c>
      <c r="D48" t="s">
        <v>463</v>
      </c>
      <c r="E48">
        <v>249</v>
      </c>
    </row>
    <row r="49" spans="1:5" x14ac:dyDescent="0.25">
      <c r="A49" s="10">
        <v>44403</v>
      </c>
      <c r="B49">
        <v>304884</v>
      </c>
      <c r="C49">
        <v>75182</v>
      </c>
      <c r="D49" t="s">
        <v>464</v>
      </c>
      <c r="E49">
        <v>253</v>
      </c>
    </row>
    <row r="50" spans="1:5" x14ac:dyDescent="0.25">
      <c r="A50" s="10">
        <v>44403</v>
      </c>
      <c r="B50">
        <v>304884</v>
      </c>
      <c r="C50">
        <v>412800</v>
      </c>
      <c r="D50" t="s">
        <v>465</v>
      </c>
      <c r="E50">
        <v>257</v>
      </c>
    </row>
    <row r="51" spans="1:5" x14ac:dyDescent="0.25">
      <c r="A51" s="10">
        <v>44403</v>
      </c>
      <c r="B51">
        <v>304884</v>
      </c>
      <c r="C51">
        <v>328267</v>
      </c>
      <c r="D51" t="s">
        <v>466</v>
      </c>
      <c r="E51">
        <v>261</v>
      </c>
    </row>
    <row r="52" spans="1:5" x14ac:dyDescent="0.25">
      <c r="A52" s="10">
        <v>44403</v>
      </c>
      <c r="B52">
        <v>304882</v>
      </c>
      <c r="C52">
        <v>317398</v>
      </c>
      <c r="D52" t="s">
        <v>467</v>
      </c>
      <c r="E52">
        <v>265</v>
      </c>
    </row>
    <row r="53" spans="1:5" x14ac:dyDescent="0.25">
      <c r="A53" s="10">
        <v>44403</v>
      </c>
      <c r="B53">
        <v>304883</v>
      </c>
      <c r="C53" t="s">
        <v>149</v>
      </c>
      <c r="D53" t="s">
        <v>468</v>
      </c>
      <c r="E53">
        <v>324</v>
      </c>
    </row>
    <row r="54" spans="1:5" x14ac:dyDescent="0.25">
      <c r="A54" s="10">
        <v>44403</v>
      </c>
      <c r="B54">
        <v>304885</v>
      </c>
      <c r="C54">
        <v>321367</v>
      </c>
      <c r="D54" t="s">
        <v>469</v>
      </c>
      <c r="E54">
        <v>328</v>
      </c>
    </row>
    <row r="55" spans="1:5" x14ac:dyDescent="0.25">
      <c r="A55" s="10">
        <v>44403</v>
      </c>
      <c r="B55">
        <v>304883</v>
      </c>
      <c r="C55" t="s">
        <v>145</v>
      </c>
      <c r="D55" t="s">
        <v>470</v>
      </c>
      <c r="E55">
        <v>332</v>
      </c>
    </row>
    <row r="56" spans="1:5" x14ac:dyDescent="0.25">
      <c r="A56" s="10">
        <v>44403</v>
      </c>
      <c r="B56">
        <v>304885</v>
      </c>
      <c r="C56">
        <v>87377</v>
      </c>
      <c r="D56" t="s">
        <v>471</v>
      </c>
      <c r="E56">
        <v>336</v>
      </c>
    </row>
    <row r="57" spans="1:5" x14ac:dyDescent="0.25">
      <c r="A57" s="10">
        <v>44403</v>
      </c>
      <c r="B57">
        <v>304886</v>
      </c>
      <c r="C57">
        <v>405337</v>
      </c>
      <c r="D57" t="s">
        <v>472</v>
      </c>
      <c r="E57">
        <v>340</v>
      </c>
    </row>
    <row r="58" spans="1:5" x14ac:dyDescent="0.25">
      <c r="A58" s="10">
        <v>44403</v>
      </c>
      <c r="B58">
        <v>304881</v>
      </c>
      <c r="C58">
        <v>461887</v>
      </c>
      <c r="D58" t="s">
        <v>473</v>
      </c>
      <c r="E58">
        <v>344</v>
      </c>
    </row>
    <row r="59" spans="1:5" x14ac:dyDescent="0.25">
      <c r="A59" s="10">
        <v>44403</v>
      </c>
      <c r="B59">
        <v>304881</v>
      </c>
      <c r="C59">
        <v>415600</v>
      </c>
      <c r="D59" t="s">
        <v>474</v>
      </c>
      <c r="E59">
        <v>348</v>
      </c>
    </row>
    <row r="60" spans="1:5" x14ac:dyDescent="0.25">
      <c r="A60" s="10">
        <v>44403</v>
      </c>
      <c r="B60">
        <v>304881</v>
      </c>
      <c r="C60">
        <v>434749</v>
      </c>
      <c r="D60" t="s">
        <v>475</v>
      </c>
      <c r="E60">
        <v>356</v>
      </c>
    </row>
    <row r="61" spans="1:5" x14ac:dyDescent="0.25">
      <c r="A61" s="10">
        <v>44403</v>
      </c>
      <c r="B61">
        <v>304881</v>
      </c>
      <c r="C61">
        <v>360360</v>
      </c>
      <c r="D61" t="s">
        <v>476</v>
      </c>
      <c r="E61">
        <v>360</v>
      </c>
    </row>
    <row r="62" spans="1:5" x14ac:dyDescent="0.25">
      <c r="A62" s="10">
        <v>44403</v>
      </c>
      <c r="B62">
        <v>304881</v>
      </c>
      <c r="C62" t="s">
        <v>165</v>
      </c>
      <c r="D62" t="s">
        <v>477</v>
      </c>
      <c r="E62">
        <v>362</v>
      </c>
    </row>
    <row r="63" spans="1:5" x14ac:dyDescent="0.25">
      <c r="A63" s="10">
        <v>44403</v>
      </c>
      <c r="B63">
        <v>304881</v>
      </c>
      <c r="C63" t="s">
        <v>112</v>
      </c>
      <c r="D63" t="s">
        <v>478</v>
      </c>
      <c r="E63">
        <v>366</v>
      </c>
    </row>
    <row r="64" spans="1:5" x14ac:dyDescent="0.25">
      <c r="A64" s="10">
        <v>44403</v>
      </c>
      <c r="B64">
        <v>304881</v>
      </c>
      <c r="C64" t="s">
        <v>97</v>
      </c>
      <c r="D64" t="s">
        <v>479</v>
      </c>
      <c r="E64">
        <v>368</v>
      </c>
    </row>
    <row r="65" spans="1:5" x14ac:dyDescent="0.25">
      <c r="A65" s="10">
        <v>44403</v>
      </c>
      <c r="B65">
        <v>304885</v>
      </c>
      <c r="C65" t="s">
        <v>166</v>
      </c>
      <c r="D65" t="s">
        <v>480</v>
      </c>
      <c r="E65">
        <v>370</v>
      </c>
    </row>
    <row r="66" spans="1:5" x14ac:dyDescent="0.25">
      <c r="A66" s="10">
        <v>44403</v>
      </c>
      <c r="B66">
        <v>304882</v>
      </c>
      <c r="C66" t="s">
        <v>98</v>
      </c>
      <c r="D66" t="s">
        <v>481</v>
      </c>
      <c r="E66">
        <v>376</v>
      </c>
    </row>
    <row r="67" spans="1:5" x14ac:dyDescent="0.25">
      <c r="A67" s="10">
        <v>44403</v>
      </c>
      <c r="B67">
        <v>304883</v>
      </c>
      <c r="C67">
        <v>319319</v>
      </c>
      <c r="D67" t="s">
        <v>482</v>
      </c>
      <c r="E67">
        <v>319</v>
      </c>
    </row>
    <row r="68" spans="1:5" x14ac:dyDescent="0.25">
      <c r="A68" s="10">
        <v>44403</v>
      </c>
      <c r="B68">
        <v>304883</v>
      </c>
      <c r="C68">
        <v>432597</v>
      </c>
      <c r="D68" t="s">
        <v>483</v>
      </c>
      <c r="E68">
        <v>321</v>
      </c>
    </row>
    <row r="69" spans="1:5" x14ac:dyDescent="0.25">
      <c r="A69" s="10">
        <v>44403</v>
      </c>
      <c r="B69">
        <v>304883</v>
      </c>
      <c r="C69" t="s">
        <v>99</v>
      </c>
      <c r="D69" t="s">
        <v>484</v>
      </c>
      <c r="E69">
        <v>325</v>
      </c>
    </row>
    <row r="70" spans="1:5" x14ac:dyDescent="0.25">
      <c r="A70" s="10">
        <v>44403</v>
      </c>
      <c r="B70">
        <v>304883</v>
      </c>
      <c r="C70">
        <v>404328</v>
      </c>
      <c r="D70" t="s">
        <v>485</v>
      </c>
      <c r="E70">
        <v>329</v>
      </c>
    </row>
    <row r="71" spans="1:5" x14ac:dyDescent="0.25">
      <c r="A71" s="10">
        <v>44403</v>
      </c>
      <c r="B71">
        <v>304883</v>
      </c>
      <c r="C71">
        <v>99443</v>
      </c>
      <c r="D71" t="s">
        <v>486</v>
      </c>
      <c r="E71">
        <v>333</v>
      </c>
    </row>
    <row r="72" spans="1:5" x14ac:dyDescent="0.25">
      <c r="A72" s="10">
        <v>44403</v>
      </c>
      <c r="B72">
        <v>304883</v>
      </c>
      <c r="C72">
        <v>432598</v>
      </c>
      <c r="D72" t="s">
        <v>487</v>
      </c>
      <c r="E72">
        <v>337</v>
      </c>
    </row>
    <row r="73" spans="1:5" x14ac:dyDescent="0.25">
      <c r="A73" s="10">
        <v>44403</v>
      </c>
      <c r="B73">
        <v>304883</v>
      </c>
      <c r="C73">
        <v>310821</v>
      </c>
      <c r="D73" t="s">
        <v>488</v>
      </c>
      <c r="E73">
        <v>341</v>
      </c>
    </row>
    <row r="74" spans="1:5" x14ac:dyDescent="0.25">
      <c r="A74" s="10">
        <v>44403</v>
      </c>
      <c r="B74">
        <v>304885</v>
      </c>
      <c r="C74" t="s">
        <v>133</v>
      </c>
      <c r="D74" t="s">
        <v>489</v>
      </c>
      <c r="E74">
        <v>345</v>
      </c>
    </row>
    <row r="75" spans="1:5" x14ac:dyDescent="0.25">
      <c r="A75" s="10">
        <v>44403</v>
      </c>
      <c r="B75">
        <v>304885</v>
      </c>
      <c r="C75">
        <v>414479</v>
      </c>
      <c r="D75" t="s">
        <v>490</v>
      </c>
      <c r="E75">
        <v>349</v>
      </c>
    </row>
    <row r="76" spans="1:5" x14ac:dyDescent="0.25">
      <c r="A76" s="10">
        <v>44403</v>
      </c>
      <c r="B76">
        <v>304885</v>
      </c>
      <c r="C76">
        <v>402666</v>
      </c>
      <c r="D76" t="s">
        <v>491</v>
      </c>
      <c r="E76">
        <v>353</v>
      </c>
    </row>
    <row r="77" spans="1:5" x14ac:dyDescent="0.25">
      <c r="A77" s="10">
        <v>44403</v>
      </c>
      <c r="B77">
        <v>304885</v>
      </c>
      <c r="C77">
        <v>86415</v>
      </c>
      <c r="D77" t="s">
        <v>492</v>
      </c>
      <c r="E77">
        <v>357</v>
      </c>
    </row>
    <row r="78" spans="1:5" x14ac:dyDescent="0.25">
      <c r="A78" s="10">
        <v>44403</v>
      </c>
      <c r="B78">
        <v>304885</v>
      </c>
      <c r="C78" t="s">
        <v>167</v>
      </c>
      <c r="D78" t="s">
        <v>493</v>
      </c>
      <c r="E78">
        <v>359</v>
      </c>
    </row>
    <row r="79" spans="1:5" x14ac:dyDescent="0.25">
      <c r="A79" s="10">
        <v>44403</v>
      </c>
      <c r="B79">
        <v>304881</v>
      </c>
      <c r="C79">
        <v>461886</v>
      </c>
      <c r="D79" t="s">
        <v>494</v>
      </c>
      <c r="E79">
        <v>361</v>
      </c>
    </row>
    <row r="80" spans="1:5" x14ac:dyDescent="0.25">
      <c r="A80" s="10">
        <v>44403</v>
      </c>
      <c r="B80">
        <v>304881</v>
      </c>
      <c r="C80">
        <v>320763</v>
      </c>
      <c r="D80" t="s">
        <v>495</v>
      </c>
      <c r="E80">
        <v>365</v>
      </c>
    </row>
    <row r="81" spans="1:5" x14ac:dyDescent="0.25">
      <c r="A81" s="10">
        <v>44403</v>
      </c>
      <c r="B81">
        <v>304881</v>
      </c>
      <c r="C81" t="s">
        <v>168</v>
      </c>
      <c r="D81" t="s">
        <v>496</v>
      </c>
      <c r="E81">
        <v>369</v>
      </c>
    </row>
    <row r="82" spans="1:5" x14ac:dyDescent="0.25">
      <c r="A82" s="10">
        <v>44403</v>
      </c>
      <c r="B82">
        <v>304887</v>
      </c>
      <c r="C82">
        <v>203589</v>
      </c>
      <c r="D82" t="s">
        <v>497</v>
      </c>
      <c r="E82">
        <v>420</v>
      </c>
    </row>
    <row r="83" spans="1:5" x14ac:dyDescent="0.25">
      <c r="A83" s="10">
        <v>44403</v>
      </c>
      <c r="B83">
        <v>304884</v>
      </c>
      <c r="C83" t="s">
        <v>169</v>
      </c>
      <c r="D83" t="s">
        <v>498</v>
      </c>
      <c r="E83">
        <v>422</v>
      </c>
    </row>
    <row r="84" spans="1:5" x14ac:dyDescent="0.25">
      <c r="A84" s="10">
        <v>44403</v>
      </c>
      <c r="B84">
        <v>304883</v>
      </c>
      <c r="C84">
        <v>436436</v>
      </c>
      <c r="D84" t="s">
        <v>499</v>
      </c>
      <c r="E84">
        <v>436</v>
      </c>
    </row>
    <row r="85" spans="1:5" x14ac:dyDescent="0.25">
      <c r="A85" s="10">
        <v>44403</v>
      </c>
      <c r="B85">
        <v>304883</v>
      </c>
      <c r="C85">
        <v>438438</v>
      </c>
      <c r="D85" t="s">
        <v>500</v>
      </c>
      <c r="E85">
        <v>438</v>
      </c>
    </row>
    <row r="86" spans="1:5" x14ac:dyDescent="0.25">
      <c r="A86" s="10">
        <v>44403</v>
      </c>
      <c r="B86">
        <v>304887</v>
      </c>
      <c r="C86" t="s">
        <v>126</v>
      </c>
      <c r="D86" t="s">
        <v>501</v>
      </c>
      <c r="E86">
        <v>468</v>
      </c>
    </row>
    <row r="87" spans="1:5" x14ac:dyDescent="0.25">
      <c r="A87" s="10">
        <v>44403</v>
      </c>
      <c r="B87">
        <v>304882</v>
      </c>
      <c r="C87" t="s">
        <v>120</v>
      </c>
      <c r="D87" t="s">
        <v>502</v>
      </c>
      <c r="E87">
        <v>472</v>
      </c>
    </row>
    <row r="88" spans="1:5" x14ac:dyDescent="0.25">
      <c r="A88" s="10">
        <v>44403</v>
      </c>
      <c r="B88">
        <v>304886</v>
      </c>
      <c r="C88">
        <v>14958</v>
      </c>
      <c r="D88" t="s">
        <v>503</v>
      </c>
      <c r="E88">
        <v>421</v>
      </c>
    </row>
    <row r="89" spans="1:5" x14ac:dyDescent="0.25">
      <c r="A89" s="10">
        <v>44403</v>
      </c>
      <c r="B89">
        <v>304881</v>
      </c>
      <c r="C89" t="s">
        <v>115</v>
      </c>
      <c r="D89" t="s">
        <v>504</v>
      </c>
      <c r="E89">
        <v>423</v>
      </c>
    </row>
    <row r="90" spans="1:5" x14ac:dyDescent="0.25">
      <c r="A90" s="10">
        <v>44403</v>
      </c>
      <c r="B90">
        <v>304883</v>
      </c>
      <c r="C90" t="s">
        <v>170</v>
      </c>
      <c r="D90" t="s">
        <v>505</v>
      </c>
      <c r="E90">
        <v>425</v>
      </c>
    </row>
    <row r="91" spans="1:5" x14ac:dyDescent="0.25">
      <c r="A91" s="10">
        <v>44403</v>
      </c>
      <c r="B91">
        <v>304884</v>
      </c>
      <c r="C91" t="s">
        <v>101</v>
      </c>
      <c r="D91" t="s">
        <v>506</v>
      </c>
      <c r="E91">
        <v>520</v>
      </c>
    </row>
    <row r="92" spans="1:5" x14ac:dyDescent="0.25">
      <c r="A92" s="10">
        <v>44403</v>
      </c>
      <c r="B92">
        <v>304884</v>
      </c>
      <c r="C92">
        <v>524524</v>
      </c>
      <c r="D92" t="s">
        <v>507</v>
      </c>
      <c r="E92">
        <v>524</v>
      </c>
    </row>
    <row r="93" spans="1:5" x14ac:dyDescent="0.25">
      <c r="A93" s="10">
        <v>44403</v>
      </c>
      <c r="B93">
        <v>304884</v>
      </c>
      <c r="C93" t="s">
        <v>123</v>
      </c>
      <c r="D93" t="s">
        <v>508</v>
      </c>
      <c r="E93">
        <v>526</v>
      </c>
    </row>
    <row r="94" spans="1:5" x14ac:dyDescent="0.25">
      <c r="A94" s="10">
        <v>44403</v>
      </c>
      <c r="B94">
        <v>304887</v>
      </c>
      <c r="C94" t="s">
        <v>103</v>
      </c>
      <c r="D94" t="s">
        <v>509</v>
      </c>
      <c r="E94">
        <v>530</v>
      </c>
    </row>
    <row r="95" spans="1:5" x14ac:dyDescent="0.25">
      <c r="A95" s="10">
        <v>44403</v>
      </c>
      <c r="B95">
        <v>304881</v>
      </c>
      <c r="C95" t="s">
        <v>104</v>
      </c>
      <c r="D95" t="s">
        <v>510</v>
      </c>
      <c r="E95">
        <v>532</v>
      </c>
    </row>
    <row r="96" spans="1:5" x14ac:dyDescent="0.25">
      <c r="A96" s="10">
        <v>44403</v>
      </c>
      <c r="B96">
        <v>304886</v>
      </c>
      <c r="C96" t="s">
        <v>106</v>
      </c>
      <c r="D96" t="s">
        <v>511</v>
      </c>
      <c r="E96">
        <v>616</v>
      </c>
    </row>
    <row r="97" spans="1:5" x14ac:dyDescent="0.25">
      <c r="A97" s="10">
        <v>44403</v>
      </c>
      <c r="B97">
        <v>304883</v>
      </c>
      <c r="C97" t="s">
        <v>171</v>
      </c>
      <c r="D97" t="s">
        <v>512</v>
      </c>
      <c r="E97">
        <v>636</v>
      </c>
    </row>
    <row r="98" spans="1:5" x14ac:dyDescent="0.25">
      <c r="A98" s="10">
        <v>44403</v>
      </c>
      <c r="B98">
        <v>304886</v>
      </c>
      <c r="C98" t="s">
        <v>109</v>
      </c>
      <c r="D98" t="s">
        <v>513</v>
      </c>
      <c r="E98">
        <v>654</v>
      </c>
    </row>
    <row r="99" spans="1:5" x14ac:dyDescent="0.25">
      <c r="A99" s="10">
        <v>44403</v>
      </c>
      <c r="B99">
        <v>304886</v>
      </c>
      <c r="C99" t="s">
        <v>172</v>
      </c>
      <c r="D99" t="s">
        <v>514</v>
      </c>
      <c r="E99">
        <v>656</v>
      </c>
    </row>
    <row r="100" spans="1:5" x14ac:dyDescent="0.25">
      <c r="A100" s="10">
        <v>44403</v>
      </c>
      <c r="B100">
        <v>304886</v>
      </c>
      <c r="C100" t="s">
        <v>161</v>
      </c>
      <c r="D100" t="s">
        <v>515</v>
      </c>
      <c r="E100">
        <v>660</v>
      </c>
    </row>
    <row r="101" spans="1:5" x14ac:dyDescent="0.25">
      <c r="A101" s="10">
        <v>44403</v>
      </c>
      <c r="B101">
        <v>304914</v>
      </c>
      <c r="C101" t="s">
        <v>173</v>
      </c>
      <c r="D101" t="s">
        <v>516</v>
      </c>
      <c r="E101">
        <v>662</v>
      </c>
    </row>
    <row r="102" spans="1:5" x14ac:dyDescent="0.25">
      <c r="A102" s="10">
        <v>44403</v>
      </c>
      <c r="B102">
        <v>304886</v>
      </c>
      <c r="C102">
        <v>87511</v>
      </c>
      <c r="D102" t="s">
        <v>517</v>
      </c>
      <c r="E102">
        <v>615</v>
      </c>
    </row>
    <row r="103" spans="1:5" x14ac:dyDescent="0.25">
      <c r="A103" s="10">
        <v>44403</v>
      </c>
      <c r="B103">
        <v>304914</v>
      </c>
      <c r="C103">
        <v>421736</v>
      </c>
      <c r="D103" t="s">
        <v>518</v>
      </c>
      <c r="E103">
        <v>617</v>
      </c>
    </row>
    <row r="104" spans="1:5" x14ac:dyDescent="0.25">
      <c r="A104" s="10">
        <v>44405</v>
      </c>
      <c r="B104">
        <v>304988</v>
      </c>
      <c r="C104">
        <v>432600</v>
      </c>
      <c r="D104" t="s">
        <v>417</v>
      </c>
      <c r="E104">
        <v>124</v>
      </c>
    </row>
    <row r="105" spans="1:5" x14ac:dyDescent="0.25">
      <c r="A105" s="10">
        <v>44405</v>
      </c>
      <c r="B105">
        <v>304988</v>
      </c>
      <c r="C105">
        <v>432595</v>
      </c>
      <c r="D105" t="s">
        <v>418</v>
      </c>
      <c r="E105">
        <v>128</v>
      </c>
    </row>
    <row r="106" spans="1:5" x14ac:dyDescent="0.25">
      <c r="A106" s="10">
        <v>44405</v>
      </c>
      <c r="B106">
        <v>304886</v>
      </c>
      <c r="C106" t="s">
        <v>141</v>
      </c>
      <c r="D106" t="s">
        <v>419</v>
      </c>
      <c r="E106">
        <v>132</v>
      </c>
    </row>
    <row r="107" spans="1:5" x14ac:dyDescent="0.25">
      <c r="A107" s="10">
        <v>44405</v>
      </c>
      <c r="B107">
        <v>304988</v>
      </c>
      <c r="C107">
        <v>84334</v>
      </c>
      <c r="D107" t="s">
        <v>420</v>
      </c>
      <c r="E107">
        <v>136</v>
      </c>
    </row>
    <row r="108" spans="1:5" x14ac:dyDescent="0.25">
      <c r="A108" s="10">
        <v>44405</v>
      </c>
      <c r="B108">
        <v>304988</v>
      </c>
      <c r="C108">
        <v>463875</v>
      </c>
      <c r="D108" t="s">
        <v>421</v>
      </c>
      <c r="E108">
        <v>140</v>
      </c>
    </row>
    <row r="109" spans="1:5" x14ac:dyDescent="0.25">
      <c r="A109" s="10">
        <v>44405</v>
      </c>
      <c r="B109">
        <v>304887</v>
      </c>
      <c r="C109">
        <v>461696</v>
      </c>
      <c r="D109" t="s">
        <v>422</v>
      </c>
      <c r="E109">
        <v>144</v>
      </c>
    </row>
    <row r="110" spans="1:5" x14ac:dyDescent="0.25">
      <c r="A110" s="10">
        <v>44405</v>
      </c>
      <c r="B110">
        <v>304882</v>
      </c>
      <c r="C110">
        <v>317398</v>
      </c>
      <c r="D110" t="s">
        <v>423</v>
      </c>
      <c r="E110">
        <v>148</v>
      </c>
    </row>
    <row r="111" spans="1:5" x14ac:dyDescent="0.25">
      <c r="A111" s="10">
        <v>44405</v>
      </c>
      <c r="B111">
        <v>304887</v>
      </c>
      <c r="C111">
        <v>411264</v>
      </c>
      <c r="D111" t="s">
        <v>424</v>
      </c>
      <c r="E111">
        <v>152</v>
      </c>
    </row>
    <row r="112" spans="1:5" x14ac:dyDescent="0.25">
      <c r="A112" s="10">
        <v>44405</v>
      </c>
      <c r="B112">
        <v>304887</v>
      </c>
      <c r="C112">
        <v>420522</v>
      </c>
      <c r="D112" t="s">
        <v>425</v>
      </c>
      <c r="E112">
        <v>156</v>
      </c>
    </row>
    <row r="113" spans="1:5" x14ac:dyDescent="0.25">
      <c r="A113" s="10">
        <v>44405</v>
      </c>
      <c r="B113">
        <v>304887</v>
      </c>
      <c r="C113">
        <v>431154</v>
      </c>
      <c r="D113" t="s">
        <v>426</v>
      </c>
      <c r="E113">
        <v>160</v>
      </c>
    </row>
    <row r="114" spans="1:5" x14ac:dyDescent="0.25">
      <c r="A114" s="10">
        <v>44405</v>
      </c>
      <c r="B114">
        <v>304887</v>
      </c>
      <c r="C114" t="s">
        <v>128</v>
      </c>
      <c r="D114" t="s">
        <v>427</v>
      </c>
      <c r="E114">
        <v>162</v>
      </c>
    </row>
    <row r="115" spans="1:5" x14ac:dyDescent="0.25">
      <c r="A115" s="10">
        <v>44405</v>
      </c>
      <c r="B115">
        <v>304887</v>
      </c>
      <c r="C115" t="s">
        <v>110</v>
      </c>
      <c r="D115" t="s">
        <v>428</v>
      </c>
      <c r="E115">
        <v>164</v>
      </c>
    </row>
    <row r="116" spans="1:5" x14ac:dyDescent="0.25">
      <c r="A116" s="10">
        <v>44405</v>
      </c>
      <c r="B116">
        <v>304881</v>
      </c>
      <c r="C116">
        <v>434748</v>
      </c>
      <c r="D116" t="s">
        <v>429</v>
      </c>
      <c r="E116">
        <v>121</v>
      </c>
    </row>
    <row r="117" spans="1:5" x14ac:dyDescent="0.25">
      <c r="A117" s="10">
        <v>44405</v>
      </c>
      <c r="B117">
        <v>304881</v>
      </c>
      <c r="C117">
        <v>424959</v>
      </c>
      <c r="D117" t="s">
        <v>430</v>
      </c>
      <c r="E117">
        <v>125</v>
      </c>
    </row>
    <row r="118" spans="1:5" x14ac:dyDescent="0.25">
      <c r="A118" s="10">
        <v>44405</v>
      </c>
      <c r="B118">
        <v>304887</v>
      </c>
      <c r="C118">
        <v>417342</v>
      </c>
      <c r="D118" t="s">
        <v>431</v>
      </c>
      <c r="E118">
        <v>129</v>
      </c>
    </row>
    <row r="119" spans="1:5" x14ac:dyDescent="0.25">
      <c r="A119" s="10">
        <v>44405</v>
      </c>
      <c r="B119">
        <v>304882</v>
      </c>
      <c r="C119">
        <v>316421</v>
      </c>
      <c r="D119" t="s">
        <v>432</v>
      </c>
      <c r="E119">
        <v>133</v>
      </c>
    </row>
    <row r="120" spans="1:5" x14ac:dyDescent="0.25">
      <c r="A120" s="10">
        <v>44405</v>
      </c>
      <c r="B120">
        <v>304881</v>
      </c>
      <c r="C120">
        <v>404394</v>
      </c>
      <c r="D120" t="s">
        <v>433</v>
      </c>
      <c r="E120">
        <v>137</v>
      </c>
    </row>
    <row r="121" spans="1:5" x14ac:dyDescent="0.25">
      <c r="A121" s="10">
        <v>44405</v>
      </c>
      <c r="B121">
        <v>304887</v>
      </c>
      <c r="C121">
        <v>409256</v>
      </c>
      <c r="D121" t="s">
        <v>434</v>
      </c>
      <c r="E121">
        <v>141</v>
      </c>
    </row>
    <row r="122" spans="1:5" x14ac:dyDescent="0.25">
      <c r="A122" s="10">
        <v>44405</v>
      </c>
      <c r="B122">
        <v>304882</v>
      </c>
      <c r="C122">
        <v>400398</v>
      </c>
      <c r="D122" t="s">
        <v>435</v>
      </c>
      <c r="E122">
        <v>145</v>
      </c>
    </row>
    <row r="123" spans="1:5" x14ac:dyDescent="0.25">
      <c r="A123" s="10">
        <v>44405</v>
      </c>
      <c r="B123">
        <v>304887</v>
      </c>
      <c r="C123">
        <v>404439</v>
      </c>
      <c r="D123" t="s">
        <v>436</v>
      </c>
      <c r="E123">
        <v>149</v>
      </c>
    </row>
    <row r="124" spans="1:5" x14ac:dyDescent="0.25">
      <c r="A124" s="10">
        <v>44405</v>
      </c>
      <c r="B124">
        <v>304887</v>
      </c>
      <c r="C124">
        <v>417490</v>
      </c>
      <c r="D124" t="s">
        <v>437</v>
      </c>
      <c r="E124">
        <v>153</v>
      </c>
    </row>
    <row r="125" spans="1:5" x14ac:dyDescent="0.25">
      <c r="A125" s="10">
        <v>44405</v>
      </c>
      <c r="B125">
        <v>304887</v>
      </c>
      <c r="C125">
        <v>87502</v>
      </c>
      <c r="D125" t="s">
        <v>438</v>
      </c>
      <c r="E125">
        <v>157</v>
      </c>
    </row>
    <row r="126" spans="1:5" x14ac:dyDescent="0.25">
      <c r="A126" s="10">
        <v>44405</v>
      </c>
      <c r="B126">
        <v>304887</v>
      </c>
      <c r="C126">
        <v>431085</v>
      </c>
      <c r="D126" t="s">
        <v>439</v>
      </c>
      <c r="E126">
        <v>161</v>
      </c>
    </row>
    <row r="127" spans="1:5" x14ac:dyDescent="0.25">
      <c r="A127" s="10">
        <v>44405</v>
      </c>
      <c r="B127">
        <v>304882</v>
      </c>
      <c r="C127">
        <v>320300</v>
      </c>
      <c r="D127" t="s">
        <v>440</v>
      </c>
      <c r="E127">
        <v>165</v>
      </c>
    </row>
    <row r="128" spans="1:5" x14ac:dyDescent="0.25">
      <c r="A128" s="10">
        <v>44405</v>
      </c>
      <c r="B128">
        <v>304882</v>
      </c>
      <c r="C128" t="s">
        <v>111</v>
      </c>
      <c r="D128" t="s">
        <v>441</v>
      </c>
      <c r="E128">
        <v>169</v>
      </c>
    </row>
    <row r="129" spans="1:5" x14ac:dyDescent="0.25">
      <c r="A129" s="10">
        <v>44405</v>
      </c>
      <c r="B129">
        <v>304914</v>
      </c>
      <c r="C129">
        <v>425044</v>
      </c>
      <c r="D129" t="s">
        <v>442</v>
      </c>
      <c r="E129">
        <v>224</v>
      </c>
    </row>
    <row r="130" spans="1:5" x14ac:dyDescent="0.25">
      <c r="A130" s="10">
        <v>44405</v>
      </c>
      <c r="B130">
        <v>304914</v>
      </c>
      <c r="C130">
        <v>425045</v>
      </c>
      <c r="D130" t="s">
        <v>443</v>
      </c>
      <c r="E130">
        <v>228</v>
      </c>
    </row>
    <row r="131" spans="1:5" x14ac:dyDescent="0.25">
      <c r="A131" s="10">
        <v>44405</v>
      </c>
      <c r="B131">
        <v>304914</v>
      </c>
      <c r="C131" t="s">
        <v>92</v>
      </c>
      <c r="D131" t="s">
        <v>444</v>
      </c>
      <c r="E131">
        <v>232</v>
      </c>
    </row>
    <row r="132" spans="1:5" x14ac:dyDescent="0.25">
      <c r="A132" s="10">
        <v>44405</v>
      </c>
      <c r="B132">
        <v>304914</v>
      </c>
      <c r="C132">
        <v>421733</v>
      </c>
      <c r="D132" t="s">
        <v>445</v>
      </c>
      <c r="E132">
        <v>236</v>
      </c>
    </row>
    <row r="133" spans="1:5" x14ac:dyDescent="0.25">
      <c r="A133" s="10">
        <v>44405</v>
      </c>
      <c r="B133">
        <v>304914</v>
      </c>
      <c r="C133">
        <v>421730</v>
      </c>
      <c r="D133" t="s">
        <v>446</v>
      </c>
      <c r="E133">
        <v>240</v>
      </c>
    </row>
    <row r="134" spans="1:5" x14ac:dyDescent="0.25">
      <c r="A134" s="10">
        <v>44405</v>
      </c>
      <c r="B134">
        <v>304914</v>
      </c>
      <c r="C134">
        <v>425046</v>
      </c>
      <c r="D134" t="s">
        <v>447</v>
      </c>
      <c r="E134">
        <v>244</v>
      </c>
    </row>
    <row r="135" spans="1:5" x14ac:dyDescent="0.25">
      <c r="A135" s="10">
        <v>44405</v>
      </c>
      <c r="B135">
        <v>304914</v>
      </c>
      <c r="C135">
        <v>439935</v>
      </c>
      <c r="D135" t="s">
        <v>448</v>
      </c>
      <c r="E135">
        <v>248</v>
      </c>
    </row>
    <row r="136" spans="1:5" x14ac:dyDescent="0.25">
      <c r="A136" s="10">
        <v>44405</v>
      </c>
      <c r="B136">
        <v>304914</v>
      </c>
      <c r="C136" t="s">
        <v>93</v>
      </c>
      <c r="D136" t="s">
        <v>449</v>
      </c>
      <c r="E136">
        <v>252</v>
      </c>
    </row>
    <row r="137" spans="1:5" x14ac:dyDescent="0.25">
      <c r="A137" s="10">
        <v>44405</v>
      </c>
      <c r="B137">
        <v>304885</v>
      </c>
      <c r="C137">
        <v>412667</v>
      </c>
      <c r="D137" t="s">
        <v>450</v>
      </c>
      <c r="E137">
        <v>256</v>
      </c>
    </row>
    <row r="138" spans="1:5" x14ac:dyDescent="0.25">
      <c r="A138" s="10">
        <v>44405</v>
      </c>
      <c r="B138">
        <v>304914</v>
      </c>
      <c r="C138" t="s">
        <v>94</v>
      </c>
      <c r="D138" t="s">
        <v>451</v>
      </c>
      <c r="E138">
        <v>260</v>
      </c>
    </row>
    <row r="139" spans="1:5" x14ac:dyDescent="0.25">
      <c r="A139" s="10">
        <v>44405</v>
      </c>
      <c r="B139">
        <v>304914</v>
      </c>
      <c r="C139" t="s">
        <v>124</v>
      </c>
      <c r="D139" t="s">
        <v>452</v>
      </c>
      <c r="E139">
        <v>264</v>
      </c>
    </row>
    <row r="140" spans="1:5" x14ac:dyDescent="0.25">
      <c r="A140" s="10">
        <v>44405</v>
      </c>
      <c r="B140">
        <v>304884</v>
      </c>
      <c r="C140">
        <v>99450</v>
      </c>
      <c r="D140" t="s">
        <v>453</v>
      </c>
      <c r="E140">
        <v>221</v>
      </c>
    </row>
    <row r="141" spans="1:5" x14ac:dyDescent="0.25">
      <c r="A141" s="10">
        <v>44405</v>
      </c>
      <c r="B141">
        <v>304884</v>
      </c>
      <c r="C141">
        <v>403441</v>
      </c>
      <c r="D141" t="s">
        <v>454</v>
      </c>
      <c r="E141">
        <v>225</v>
      </c>
    </row>
    <row r="142" spans="1:5" x14ac:dyDescent="0.25">
      <c r="A142" s="10">
        <v>44405</v>
      </c>
      <c r="B142">
        <v>304884</v>
      </c>
      <c r="C142">
        <v>86159</v>
      </c>
      <c r="D142" t="s">
        <v>455</v>
      </c>
      <c r="E142">
        <v>229</v>
      </c>
    </row>
    <row r="143" spans="1:5" x14ac:dyDescent="0.25">
      <c r="A143" s="10">
        <v>44405</v>
      </c>
      <c r="B143">
        <v>304988</v>
      </c>
      <c r="C143" t="s">
        <v>178</v>
      </c>
      <c r="D143" t="s">
        <v>456</v>
      </c>
      <c r="E143">
        <v>233</v>
      </c>
    </row>
    <row r="144" spans="1:5" x14ac:dyDescent="0.25">
      <c r="A144" s="10">
        <v>44405</v>
      </c>
      <c r="B144">
        <v>304988</v>
      </c>
      <c r="C144">
        <v>85227</v>
      </c>
      <c r="D144" t="s">
        <v>457</v>
      </c>
      <c r="E144">
        <v>237</v>
      </c>
    </row>
    <row r="145" spans="1:5" x14ac:dyDescent="0.25">
      <c r="A145" s="10">
        <v>44405</v>
      </c>
      <c r="B145">
        <v>304884</v>
      </c>
      <c r="C145">
        <v>423185</v>
      </c>
      <c r="D145" t="s">
        <v>458</v>
      </c>
      <c r="E145">
        <v>241</v>
      </c>
    </row>
    <row r="146" spans="1:5" x14ac:dyDescent="0.25">
      <c r="A146" s="10">
        <v>44405</v>
      </c>
      <c r="B146">
        <v>304882</v>
      </c>
      <c r="C146">
        <v>316420</v>
      </c>
      <c r="D146" t="s">
        <v>459</v>
      </c>
      <c r="E146">
        <v>245</v>
      </c>
    </row>
    <row r="147" spans="1:5" x14ac:dyDescent="0.25">
      <c r="A147" s="10">
        <v>44405</v>
      </c>
      <c r="B147">
        <v>304884</v>
      </c>
      <c r="C147">
        <v>314246</v>
      </c>
      <c r="D147" t="s">
        <v>460</v>
      </c>
      <c r="E147">
        <v>249</v>
      </c>
    </row>
    <row r="148" spans="1:5" x14ac:dyDescent="0.25">
      <c r="A148" s="10">
        <v>44405</v>
      </c>
      <c r="B148">
        <v>304884</v>
      </c>
      <c r="C148">
        <v>75182</v>
      </c>
      <c r="D148" t="s">
        <v>461</v>
      </c>
      <c r="E148">
        <v>253</v>
      </c>
    </row>
    <row r="149" spans="1:5" x14ac:dyDescent="0.25">
      <c r="A149" s="10">
        <v>44405</v>
      </c>
      <c r="B149">
        <v>304884</v>
      </c>
      <c r="C149" t="s">
        <v>179</v>
      </c>
      <c r="D149" t="s">
        <v>462</v>
      </c>
      <c r="E149">
        <v>257</v>
      </c>
    </row>
    <row r="150" spans="1:5" x14ac:dyDescent="0.25">
      <c r="A150" s="10">
        <v>44405</v>
      </c>
      <c r="B150">
        <v>304884</v>
      </c>
      <c r="C150">
        <v>328267</v>
      </c>
      <c r="D150" t="s">
        <v>463</v>
      </c>
      <c r="E150">
        <v>261</v>
      </c>
    </row>
    <row r="151" spans="1:5" x14ac:dyDescent="0.25">
      <c r="A151" s="10">
        <v>44405</v>
      </c>
      <c r="B151">
        <v>304882</v>
      </c>
      <c r="C151">
        <v>72736</v>
      </c>
      <c r="D151" t="s">
        <v>464</v>
      </c>
      <c r="E151">
        <v>265</v>
      </c>
    </row>
    <row r="152" spans="1:5" x14ac:dyDescent="0.25">
      <c r="A152" s="10">
        <v>44405</v>
      </c>
      <c r="B152">
        <v>304883</v>
      </c>
      <c r="C152">
        <v>404328</v>
      </c>
      <c r="D152" t="s">
        <v>465</v>
      </c>
      <c r="E152">
        <v>324</v>
      </c>
    </row>
    <row r="153" spans="1:5" x14ac:dyDescent="0.25">
      <c r="A153" s="10">
        <v>44405</v>
      </c>
      <c r="B153">
        <v>304885</v>
      </c>
      <c r="C153">
        <v>321367</v>
      </c>
      <c r="D153" t="s">
        <v>466</v>
      </c>
      <c r="E153">
        <v>328</v>
      </c>
    </row>
    <row r="154" spans="1:5" x14ac:dyDescent="0.25">
      <c r="A154" s="10">
        <v>44405</v>
      </c>
      <c r="B154">
        <v>304883</v>
      </c>
      <c r="C154" t="s">
        <v>145</v>
      </c>
      <c r="D154" t="s">
        <v>467</v>
      </c>
      <c r="E154">
        <v>332</v>
      </c>
    </row>
    <row r="155" spans="1:5" x14ac:dyDescent="0.25">
      <c r="A155" s="10">
        <v>44405</v>
      </c>
      <c r="B155">
        <v>304885</v>
      </c>
      <c r="C155">
        <v>87377</v>
      </c>
      <c r="D155" t="s">
        <v>468</v>
      </c>
      <c r="E155">
        <v>336</v>
      </c>
    </row>
    <row r="156" spans="1:5" x14ac:dyDescent="0.25">
      <c r="A156" s="10">
        <v>44405</v>
      </c>
      <c r="B156">
        <v>304886</v>
      </c>
      <c r="C156">
        <v>405337</v>
      </c>
      <c r="D156" t="s">
        <v>469</v>
      </c>
      <c r="E156">
        <v>340</v>
      </c>
    </row>
    <row r="157" spans="1:5" x14ac:dyDescent="0.25">
      <c r="A157" s="10">
        <v>44405</v>
      </c>
      <c r="B157">
        <v>304881</v>
      </c>
      <c r="C157">
        <v>461887</v>
      </c>
      <c r="D157" t="s">
        <v>470</v>
      </c>
      <c r="E157">
        <v>344</v>
      </c>
    </row>
    <row r="158" spans="1:5" x14ac:dyDescent="0.25">
      <c r="A158" s="10">
        <v>44405</v>
      </c>
      <c r="B158">
        <v>304881</v>
      </c>
      <c r="C158">
        <v>415600</v>
      </c>
      <c r="D158" t="s">
        <v>471</v>
      </c>
      <c r="E158">
        <v>348</v>
      </c>
    </row>
    <row r="159" spans="1:5" x14ac:dyDescent="0.25">
      <c r="A159" s="10">
        <v>44405</v>
      </c>
      <c r="B159">
        <v>304881</v>
      </c>
      <c r="C159">
        <v>461885</v>
      </c>
      <c r="D159" t="s">
        <v>472</v>
      </c>
      <c r="E159">
        <v>352</v>
      </c>
    </row>
    <row r="160" spans="1:5" x14ac:dyDescent="0.25">
      <c r="A160" s="10">
        <v>44405</v>
      </c>
      <c r="B160">
        <v>304881</v>
      </c>
      <c r="C160">
        <v>434749</v>
      </c>
      <c r="D160" t="s">
        <v>473</v>
      </c>
      <c r="E160">
        <v>356</v>
      </c>
    </row>
    <row r="161" spans="1:5" x14ac:dyDescent="0.25">
      <c r="A161" s="10">
        <v>44405</v>
      </c>
      <c r="B161">
        <v>304881</v>
      </c>
      <c r="C161" t="s">
        <v>112</v>
      </c>
      <c r="D161" t="s">
        <v>474</v>
      </c>
      <c r="E161">
        <v>366</v>
      </c>
    </row>
    <row r="162" spans="1:5" x14ac:dyDescent="0.25">
      <c r="A162" s="10">
        <v>44405</v>
      </c>
      <c r="B162">
        <v>304881</v>
      </c>
      <c r="C162" t="s">
        <v>97</v>
      </c>
      <c r="D162" t="s">
        <v>475</v>
      </c>
      <c r="E162">
        <v>368</v>
      </c>
    </row>
    <row r="163" spans="1:5" x14ac:dyDescent="0.25">
      <c r="A163" s="10">
        <v>44405</v>
      </c>
      <c r="B163">
        <v>304885</v>
      </c>
      <c r="C163" t="s">
        <v>166</v>
      </c>
      <c r="D163" t="s">
        <v>476</v>
      </c>
      <c r="E163">
        <v>370</v>
      </c>
    </row>
    <row r="164" spans="1:5" x14ac:dyDescent="0.25">
      <c r="A164" s="10">
        <v>44405</v>
      </c>
      <c r="B164">
        <v>304882</v>
      </c>
      <c r="C164" t="s">
        <v>98</v>
      </c>
      <c r="D164" t="s">
        <v>477</v>
      </c>
      <c r="E164">
        <v>376</v>
      </c>
    </row>
    <row r="165" spans="1:5" x14ac:dyDescent="0.25">
      <c r="A165" s="10">
        <v>44405</v>
      </c>
      <c r="B165">
        <v>304883</v>
      </c>
      <c r="C165">
        <v>432597</v>
      </c>
      <c r="D165" t="s">
        <v>478</v>
      </c>
      <c r="E165">
        <v>321</v>
      </c>
    </row>
    <row r="166" spans="1:5" x14ac:dyDescent="0.25">
      <c r="A166" s="10">
        <v>44405</v>
      </c>
      <c r="B166">
        <v>304883</v>
      </c>
      <c r="C166" t="s">
        <v>99</v>
      </c>
      <c r="D166" t="s">
        <v>479</v>
      </c>
      <c r="E166">
        <v>325</v>
      </c>
    </row>
    <row r="167" spans="1:5" x14ac:dyDescent="0.25">
      <c r="A167" s="10">
        <v>44405</v>
      </c>
      <c r="B167">
        <v>304883</v>
      </c>
      <c r="C167" t="s">
        <v>150</v>
      </c>
      <c r="D167" t="s">
        <v>480</v>
      </c>
      <c r="E167">
        <v>329</v>
      </c>
    </row>
    <row r="168" spans="1:5" x14ac:dyDescent="0.25">
      <c r="A168" s="10">
        <v>44405</v>
      </c>
      <c r="B168">
        <v>304883</v>
      </c>
      <c r="C168">
        <v>99443</v>
      </c>
      <c r="D168" t="s">
        <v>481</v>
      </c>
      <c r="E168">
        <v>333</v>
      </c>
    </row>
    <row r="169" spans="1:5" x14ac:dyDescent="0.25">
      <c r="A169" s="10">
        <v>44405</v>
      </c>
      <c r="B169">
        <v>304883</v>
      </c>
      <c r="C169" t="s">
        <v>176</v>
      </c>
      <c r="D169" t="s">
        <v>482</v>
      </c>
      <c r="E169">
        <v>337</v>
      </c>
    </row>
    <row r="170" spans="1:5" x14ac:dyDescent="0.25">
      <c r="A170" s="10">
        <v>44405</v>
      </c>
      <c r="B170">
        <v>304883</v>
      </c>
      <c r="C170">
        <v>310821</v>
      </c>
      <c r="D170" t="s">
        <v>483</v>
      </c>
      <c r="E170">
        <v>341</v>
      </c>
    </row>
    <row r="171" spans="1:5" x14ac:dyDescent="0.25">
      <c r="A171" s="10">
        <v>44405</v>
      </c>
      <c r="B171">
        <v>304885</v>
      </c>
      <c r="C171" t="s">
        <v>133</v>
      </c>
      <c r="D171" t="s">
        <v>484</v>
      </c>
      <c r="E171">
        <v>345</v>
      </c>
    </row>
    <row r="172" spans="1:5" x14ac:dyDescent="0.25">
      <c r="A172" s="10">
        <v>44405</v>
      </c>
      <c r="B172">
        <v>304885</v>
      </c>
      <c r="C172">
        <v>414479</v>
      </c>
      <c r="D172" t="s">
        <v>485</v>
      </c>
      <c r="E172">
        <v>349</v>
      </c>
    </row>
    <row r="173" spans="1:5" x14ac:dyDescent="0.25">
      <c r="A173" s="10">
        <v>44405</v>
      </c>
      <c r="B173">
        <v>304885</v>
      </c>
      <c r="C173">
        <v>402666</v>
      </c>
      <c r="D173" t="s">
        <v>486</v>
      </c>
      <c r="E173">
        <v>353</v>
      </c>
    </row>
    <row r="174" spans="1:5" x14ac:dyDescent="0.25">
      <c r="A174" s="10">
        <v>44405</v>
      </c>
      <c r="B174">
        <v>304885</v>
      </c>
      <c r="C174">
        <v>86415</v>
      </c>
      <c r="D174" t="s">
        <v>487</v>
      </c>
      <c r="E174">
        <v>357</v>
      </c>
    </row>
    <row r="175" spans="1:5" x14ac:dyDescent="0.25">
      <c r="A175" s="10">
        <v>44405</v>
      </c>
      <c r="B175">
        <v>304881</v>
      </c>
      <c r="C175">
        <v>461886</v>
      </c>
      <c r="D175" t="s">
        <v>488</v>
      </c>
      <c r="E175">
        <v>361</v>
      </c>
    </row>
    <row r="176" spans="1:5" x14ac:dyDescent="0.25">
      <c r="A176" s="10">
        <v>44405</v>
      </c>
      <c r="B176">
        <v>304881</v>
      </c>
      <c r="C176">
        <v>320763</v>
      </c>
      <c r="D176" t="s">
        <v>489</v>
      </c>
      <c r="E176">
        <v>365</v>
      </c>
    </row>
    <row r="177" spans="1:5" x14ac:dyDescent="0.25">
      <c r="A177" s="10">
        <v>44405</v>
      </c>
      <c r="B177">
        <v>304881</v>
      </c>
      <c r="C177" t="s">
        <v>113</v>
      </c>
      <c r="D177" t="s">
        <v>490</v>
      </c>
      <c r="E177">
        <v>369</v>
      </c>
    </row>
    <row r="178" spans="1:5" x14ac:dyDescent="0.25">
      <c r="A178" s="10">
        <v>44405</v>
      </c>
      <c r="B178">
        <v>304887</v>
      </c>
      <c r="C178">
        <v>203589</v>
      </c>
      <c r="D178" t="s">
        <v>491</v>
      </c>
      <c r="E178">
        <v>420</v>
      </c>
    </row>
    <row r="179" spans="1:5" x14ac:dyDescent="0.25">
      <c r="A179" s="10">
        <v>44405</v>
      </c>
      <c r="B179">
        <v>304883</v>
      </c>
      <c r="C179" t="s">
        <v>180</v>
      </c>
      <c r="D179" t="s">
        <v>492</v>
      </c>
      <c r="E179">
        <v>436</v>
      </c>
    </row>
    <row r="180" spans="1:5" x14ac:dyDescent="0.25">
      <c r="A180" s="10">
        <v>44405</v>
      </c>
      <c r="B180">
        <v>304988</v>
      </c>
      <c r="C180">
        <v>440440</v>
      </c>
      <c r="D180" t="s">
        <v>493</v>
      </c>
      <c r="E180">
        <v>440</v>
      </c>
    </row>
    <row r="181" spans="1:5" x14ac:dyDescent="0.25">
      <c r="A181" s="10">
        <v>44405</v>
      </c>
      <c r="B181">
        <v>304887</v>
      </c>
      <c r="C181" t="s">
        <v>114</v>
      </c>
      <c r="D181" t="s">
        <v>494</v>
      </c>
      <c r="E181">
        <v>468</v>
      </c>
    </row>
    <row r="182" spans="1:5" x14ac:dyDescent="0.25">
      <c r="A182" s="10">
        <v>44405</v>
      </c>
      <c r="B182">
        <v>304887</v>
      </c>
      <c r="C182" t="s">
        <v>139</v>
      </c>
      <c r="D182" t="s">
        <v>495</v>
      </c>
      <c r="E182">
        <v>470</v>
      </c>
    </row>
    <row r="183" spans="1:5" x14ac:dyDescent="0.25">
      <c r="A183" s="10">
        <v>44405</v>
      </c>
      <c r="B183">
        <v>304884</v>
      </c>
      <c r="C183" t="s">
        <v>181</v>
      </c>
      <c r="D183" t="s">
        <v>496</v>
      </c>
      <c r="E183">
        <v>419</v>
      </c>
    </row>
    <row r="184" spans="1:5" x14ac:dyDescent="0.25">
      <c r="A184" s="10">
        <v>44405</v>
      </c>
      <c r="B184">
        <v>304886</v>
      </c>
      <c r="C184">
        <v>14958</v>
      </c>
      <c r="D184" t="s">
        <v>497</v>
      </c>
      <c r="E184">
        <v>421</v>
      </c>
    </row>
    <row r="185" spans="1:5" x14ac:dyDescent="0.25">
      <c r="A185" s="10">
        <v>44405</v>
      </c>
      <c r="B185">
        <v>304881</v>
      </c>
      <c r="C185" t="s">
        <v>115</v>
      </c>
      <c r="D185" t="s">
        <v>498</v>
      </c>
      <c r="E185">
        <v>423</v>
      </c>
    </row>
    <row r="186" spans="1:5" x14ac:dyDescent="0.25">
      <c r="A186" s="10">
        <v>44405</v>
      </c>
      <c r="B186">
        <v>304883</v>
      </c>
      <c r="C186" t="s">
        <v>182</v>
      </c>
      <c r="D186" t="s">
        <v>499</v>
      </c>
      <c r="E186">
        <v>425</v>
      </c>
    </row>
    <row r="187" spans="1:5" x14ac:dyDescent="0.25">
      <c r="A187" s="10">
        <v>44405</v>
      </c>
      <c r="B187">
        <v>304884</v>
      </c>
      <c r="C187" t="s">
        <v>102</v>
      </c>
      <c r="D187" t="s">
        <v>500</v>
      </c>
      <c r="E187">
        <v>522</v>
      </c>
    </row>
    <row r="188" spans="1:5" x14ac:dyDescent="0.25">
      <c r="A188" s="10">
        <v>44405</v>
      </c>
      <c r="B188">
        <v>304884</v>
      </c>
      <c r="C188">
        <v>524524</v>
      </c>
      <c r="D188" t="s">
        <v>501</v>
      </c>
      <c r="E188">
        <v>524</v>
      </c>
    </row>
    <row r="189" spans="1:5" x14ac:dyDescent="0.25">
      <c r="A189" s="10">
        <v>44405</v>
      </c>
      <c r="B189">
        <v>304884</v>
      </c>
      <c r="C189" t="s">
        <v>136</v>
      </c>
      <c r="D189" t="s">
        <v>502</v>
      </c>
      <c r="E189">
        <v>526</v>
      </c>
    </row>
    <row r="190" spans="1:5" x14ac:dyDescent="0.25">
      <c r="A190" s="10">
        <v>44405</v>
      </c>
      <c r="B190">
        <v>304887</v>
      </c>
      <c r="C190" t="s">
        <v>183</v>
      </c>
      <c r="D190" t="s">
        <v>503</v>
      </c>
      <c r="E190">
        <v>530</v>
      </c>
    </row>
    <row r="191" spans="1:5" x14ac:dyDescent="0.25">
      <c r="A191" s="10">
        <v>44405</v>
      </c>
      <c r="B191">
        <v>304881</v>
      </c>
      <c r="C191" t="s">
        <v>104</v>
      </c>
      <c r="D191" t="s">
        <v>504</v>
      </c>
      <c r="E191">
        <v>532</v>
      </c>
    </row>
    <row r="192" spans="1:5" x14ac:dyDescent="0.25">
      <c r="A192" s="10">
        <v>44405</v>
      </c>
      <c r="B192">
        <v>304881</v>
      </c>
      <c r="C192" t="s">
        <v>105</v>
      </c>
      <c r="D192" t="s">
        <v>505</v>
      </c>
      <c r="E192">
        <v>538</v>
      </c>
    </row>
    <row r="193" spans="1:5" x14ac:dyDescent="0.25">
      <c r="A193" s="10">
        <v>44405</v>
      </c>
      <c r="B193">
        <v>304886</v>
      </c>
      <c r="C193">
        <v>616616</v>
      </c>
      <c r="D193" t="s">
        <v>506</v>
      </c>
      <c r="E193">
        <v>616</v>
      </c>
    </row>
    <row r="194" spans="1:5" x14ac:dyDescent="0.25">
      <c r="A194" s="10">
        <v>44405</v>
      </c>
      <c r="B194">
        <v>304914</v>
      </c>
      <c r="C194" t="s">
        <v>184</v>
      </c>
      <c r="D194" t="s">
        <v>507</v>
      </c>
      <c r="E194">
        <v>640</v>
      </c>
    </row>
    <row r="195" spans="1:5" x14ac:dyDescent="0.25">
      <c r="A195" s="10">
        <v>44405</v>
      </c>
      <c r="B195">
        <v>304886</v>
      </c>
      <c r="C195" t="s">
        <v>177</v>
      </c>
      <c r="D195" t="s">
        <v>508</v>
      </c>
      <c r="E195">
        <v>654</v>
      </c>
    </row>
    <row r="196" spans="1:5" x14ac:dyDescent="0.25">
      <c r="A196" s="10">
        <v>44405</v>
      </c>
      <c r="B196">
        <v>304886</v>
      </c>
      <c r="C196" t="s">
        <v>185</v>
      </c>
      <c r="D196" t="s">
        <v>509</v>
      </c>
      <c r="E196">
        <v>656</v>
      </c>
    </row>
    <row r="197" spans="1:5" x14ac:dyDescent="0.25">
      <c r="A197" s="10">
        <v>44405</v>
      </c>
      <c r="B197">
        <v>304886</v>
      </c>
      <c r="C197" t="s">
        <v>186</v>
      </c>
      <c r="D197" t="s">
        <v>510</v>
      </c>
      <c r="E197">
        <v>660</v>
      </c>
    </row>
    <row r="198" spans="1:5" x14ac:dyDescent="0.25">
      <c r="A198" s="10">
        <v>44405</v>
      </c>
      <c r="B198">
        <v>304886</v>
      </c>
      <c r="C198" t="s">
        <v>187</v>
      </c>
      <c r="D198" t="s">
        <v>511</v>
      </c>
      <c r="E198">
        <v>668</v>
      </c>
    </row>
    <row r="199" spans="1:5" x14ac:dyDescent="0.25">
      <c r="A199" s="10">
        <v>44405</v>
      </c>
      <c r="B199">
        <v>304886</v>
      </c>
      <c r="C199" t="s">
        <v>188</v>
      </c>
      <c r="D199" t="s">
        <v>512</v>
      </c>
      <c r="E199">
        <v>615</v>
      </c>
    </row>
    <row r="200" spans="1:5" x14ac:dyDescent="0.25">
      <c r="A200" s="10">
        <v>44405</v>
      </c>
      <c r="B200">
        <v>304914</v>
      </c>
      <c r="C200" t="s">
        <v>189</v>
      </c>
      <c r="D200" t="s">
        <v>513</v>
      </c>
      <c r="E200">
        <v>617</v>
      </c>
    </row>
    <row r="201" spans="1:5" x14ac:dyDescent="0.25">
      <c r="A201" s="10">
        <v>44405</v>
      </c>
      <c r="B201">
        <v>304881</v>
      </c>
      <c r="C201">
        <v>400356</v>
      </c>
      <c r="D201" t="s">
        <v>514</v>
      </c>
      <c r="E201">
        <v>655</v>
      </c>
    </row>
    <row r="202" spans="1:5" x14ac:dyDescent="0.25">
      <c r="A202" s="10">
        <v>44402</v>
      </c>
      <c r="B202">
        <v>304988</v>
      </c>
      <c r="C202">
        <v>432600</v>
      </c>
      <c r="D202" t="s">
        <v>417</v>
      </c>
      <c r="E202">
        <v>124</v>
      </c>
    </row>
    <row r="203" spans="1:5" x14ac:dyDescent="0.25">
      <c r="A203" s="10">
        <v>44402</v>
      </c>
      <c r="B203">
        <v>304988</v>
      </c>
      <c r="C203">
        <v>432595</v>
      </c>
      <c r="D203" t="s">
        <v>418</v>
      </c>
      <c r="E203">
        <v>128</v>
      </c>
    </row>
    <row r="204" spans="1:5" x14ac:dyDescent="0.25">
      <c r="A204" s="10">
        <v>44402</v>
      </c>
      <c r="B204">
        <v>304988</v>
      </c>
      <c r="C204" t="s">
        <v>192</v>
      </c>
      <c r="D204" t="s">
        <v>419</v>
      </c>
      <c r="E204">
        <v>136</v>
      </c>
    </row>
    <row r="205" spans="1:5" x14ac:dyDescent="0.25">
      <c r="A205" s="10">
        <v>44402</v>
      </c>
      <c r="B205">
        <v>304988</v>
      </c>
      <c r="C205" t="s">
        <v>193</v>
      </c>
      <c r="D205" t="s">
        <v>420</v>
      </c>
      <c r="E205">
        <v>140</v>
      </c>
    </row>
    <row r="206" spans="1:5" x14ac:dyDescent="0.25">
      <c r="A206" s="10">
        <v>44402</v>
      </c>
      <c r="B206">
        <v>304887</v>
      </c>
      <c r="C206">
        <v>326234</v>
      </c>
      <c r="D206" t="s">
        <v>421</v>
      </c>
      <c r="E206">
        <v>144</v>
      </c>
    </row>
    <row r="207" spans="1:5" x14ac:dyDescent="0.25">
      <c r="A207" s="10">
        <v>44402</v>
      </c>
      <c r="B207">
        <v>304882</v>
      </c>
      <c r="C207">
        <v>317397</v>
      </c>
      <c r="D207" t="s">
        <v>422</v>
      </c>
      <c r="E207">
        <v>148</v>
      </c>
    </row>
    <row r="208" spans="1:5" x14ac:dyDescent="0.25">
      <c r="A208" s="10">
        <v>44402</v>
      </c>
      <c r="B208">
        <v>304887</v>
      </c>
      <c r="C208">
        <v>411264</v>
      </c>
      <c r="D208" t="s">
        <v>423</v>
      </c>
      <c r="E208">
        <v>152</v>
      </c>
    </row>
    <row r="209" spans="1:5" x14ac:dyDescent="0.25">
      <c r="A209" s="10">
        <v>44402</v>
      </c>
      <c r="B209">
        <v>304887</v>
      </c>
      <c r="C209">
        <v>420522</v>
      </c>
      <c r="D209" t="s">
        <v>424</v>
      </c>
      <c r="E209">
        <v>156</v>
      </c>
    </row>
    <row r="210" spans="1:5" x14ac:dyDescent="0.25">
      <c r="A210" s="10">
        <v>44402</v>
      </c>
      <c r="B210">
        <v>304887</v>
      </c>
      <c r="C210">
        <v>431154</v>
      </c>
      <c r="D210" t="s">
        <v>425</v>
      </c>
      <c r="E210">
        <v>160</v>
      </c>
    </row>
    <row r="211" spans="1:5" x14ac:dyDescent="0.25">
      <c r="A211" s="10">
        <v>44402</v>
      </c>
      <c r="B211">
        <v>304887</v>
      </c>
      <c r="C211">
        <v>87502</v>
      </c>
      <c r="D211" t="s">
        <v>426</v>
      </c>
      <c r="E211">
        <v>117</v>
      </c>
    </row>
    <row r="212" spans="1:5" x14ac:dyDescent="0.25">
      <c r="A212" s="10">
        <v>44402</v>
      </c>
      <c r="B212">
        <v>304887</v>
      </c>
      <c r="C212">
        <v>417342</v>
      </c>
      <c r="D212" t="s">
        <v>427</v>
      </c>
      <c r="E212">
        <v>129</v>
      </c>
    </row>
    <row r="213" spans="1:5" x14ac:dyDescent="0.25">
      <c r="A213" s="10">
        <v>44402</v>
      </c>
      <c r="B213">
        <v>304882</v>
      </c>
      <c r="C213">
        <v>316421</v>
      </c>
      <c r="D213" t="s">
        <v>428</v>
      </c>
      <c r="E213">
        <v>133</v>
      </c>
    </row>
    <row r="214" spans="1:5" x14ac:dyDescent="0.25">
      <c r="A214" s="10">
        <v>44402</v>
      </c>
      <c r="B214">
        <v>304887</v>
      </c>
      <c r="C214">
        <v>409256</v>
      </c>
      <c r="D214" t="s">
        <v>429</v>
      </c>
      <c r="E214">
        <v>141</v>
      </c>
    </row>
    <row r="215" spans="1:5" x14ac:dyDescent="0.25">
      <c r="A215" s="10">
        <v>44402</v>
      </c>
      <c r="B215">
        <v>304887</v>
      </c>
      <c r="C215">
        <v>417490</v>
      </c>
      <c r="D215" t="s">
        <v>430</v>
      </c>
      <c r="E215">
        <v>153</v>
      </c>
    </row>
    <row r="216" spans="1:5" x14ac:dyDescent="0.25">
      <c r="A216" s="10">
        <v>44402</v>
      </c>
      <c r="B216">
        <v>304887</v>
      </c>
      <c r="C216">
        <v>431085</v>
      </c>
      <c r="D216" t="s">
        <v>431</v>
      </c>
      <c r="E216">
        <v>161</v>
      </c>
    </row>
    <row r="217" spans="1:5" x14ac:dyDescent="0.25">
      <c r="A217" s="10">
        <v>44402</v>
      </c>
      <c r="B217">
        <v>304914</v>
      </c>
      <c r="C217">
        <v>425045</v>
      </c>
      <c r="D217" t="s">
        <v>432</v>
      </c>
      <c r="E217">
        <v>228</v>
      </c>
    </row>
    <row r="218" spans="1:5" x14ac:dyDescent="0.25">
      <c r="A218" s="10">
        <v>44402</v>
      </c>
      <c r="B218">
        <v>304914</v>
      </c>
      <c r="C218" t="s">
        <v>92</v>
      </c>
      <c r="D218" t="s">
        <v>433</v>
      </c>
      <c r="E218">
        <v>232</v>
      </c>
    </row>
    <row r="219" spans="1:5" x14ac:dyDescent="0.25">
      <c r="A219" s="10">
        <v>44402</v>
      </c>
      <c r="B219">
        <v>304914</v>
      </c>
      <c r="C219">
        <v>421733</v>
      </c>
      <c r="D219" t="s">
        <v>434</v>
      </c>
      <c r="E219">
        <v>236</v>
      </c>
    </row>
    <row r="220" spans="1:5" x14ac:dyDescent="0.25">
      <c r="A220" s="10">
        <v>44402</v>
      </c>
      <c r="B220">
        <v>304914</v>
      </c>
      <c r="C220">
        <v>425046</v>
      </c>
      <c r="D220" t="s">
        <v>435</v>
      </c>
      <c r="E220">
        <v>244</v>
      </c>
    </row>
    <row r="221" spans="1:5" x14ac:dyDescent="0.25">
      <c r="A221" s="10">
        <v>44402</v>
      </c>
      <c r="B221">
        <v>304914</v>
      </c>
      <c r="C221" t="s">
        <v>174</v>
      </c>
      <c r="D221" t="s">
        <v>436</v>
      </c>
      <c r="E221">
        <v>248</v>
      </c>
    </row>
    <row r="222" spans="1:5" x14ac:dyDescent="0.25">
      <c r="A222" s="10">
        <v>44402</v>
      </c>
      <c r="B222">
        <v>304914</v>
      </c>
      <c r="C222" t="s">
        <v>125</v>
      </c>
      <c r="D222" t="s">
        <v>437</v>
      </c>
      <c r="E222">
        <v>252</v>
      </c>
    </row>
    <row r="223" spans="1:5" x14ac:dyDescent="0.25">
      <c r="A223" s="10">
        <v>44402</v>
      </c>
      <c r="B223">
        <v>304884</v>
      </c>
      <c r="C223">
        <v>403441</v>
      </c>
      <c r="D223" t="s">
        <v>438</v>
      </c>
      <c r="E223">
        <v>225</v>
      </c>
    </row>
    <row r="224" spans="1:5" x14ac:dyDescent="0.25">
      <c r="A224" s="10">
        <v>44402</v>
      </c>
      <c r="B224">
        <v>304884</v>
      </c>
      <c r="C224">
        <v>423185</v>
      </c>
      <c r="D224" t="s">
        <v>439</v>
      </c>
      <c r="E224">
        <v>241</v>
      </c>
    </row>
    <row r="225" spans="1:5" x14ac:dyDescent="0.25">
      <c r="A225" s="10">
        <v>44402</v>
      </c>
      <c r="B225">
        <v>304882</v>
      </c>
      <c r="C225">
        <v>316420</v>
      </c>
      <c r="D225" t="s">
        <v>440</v>
      </c>
      <c r="E225">
        <v>245</v>
      </c>
    </row>
    <row r="226" spans="1:5" x14ac:dyDescent="0.25">
      <c r="A226" s="10">
        <v>44402</v>
      </c>
      <c r="B226">
        <v>304884</v>
      </c>
      <c r="C226">
        <v>425293</v>
      </c>
      <c r="D226" t="s">
        <v>441</v>
      </c>
      <c r="E226">
        <v>249</v>
      </c>
    </row>
    <row r="227" spans="1:5" x14ac:dyDescent="0.25">
      <c r="A227" s="10">
        <v>44402</v>
      </c>
      <c r="B227">
        <v>304884</v>
      </c>
      <c r="C227" t="s">
        <v>175</v>
      </c>
      <c r="D227" t="s">
        <v>442</v>
      </c>
      <c r="E227">
        <v>253</v>
      </c>
    </row>
    <row r="228" spans="1:5" x14ac:dyDescent="0.25">
      <c r="A228" s="10">
        <v>44402</v>
      </c>
      <c r="B228">
        <v>304884</v>
      </c>
      <c r="C228">
        <v>412800</v>
      </c>
      <c r="D228" t="s">
        <v>443</v>
      </c>
      <c r="E228">
        <v>257</v>
      </c>
    </row>
    <row r="229" spans="1:5" x14ac:dyDescent="0.25">
      <c r="A229" s="10">
        <v>44402</v>
      </c>
      <c r="B229">
        <v>304885</v>
      </c>
      <c r="C229">
        <v>321367</v>
      </c>
      <c r="D229" t="s">
        <v>444</v>
      </c>
      <c r="E229">
        <v>328</v>
      </c>
    </row>
    <row r="230" spans="1:5" x14ac:dyDescent="0.25">
      <c r="A230" s="10">
        <v>44402</v>
      </c>
      <c r="B230">
        <v>304883</v>
      </c>
      <c r="C230">
        <v>332332</v>
      </c>
      <c r="D230" t="s">
        <v>445</v>
      </c>
      <c r="E230">
        <v>332</v>
      </c>
    </row>
    <row r="231" spans="1:5" x14ac:dyDescent="0.25">
      <c r="A231" s="10">
        <v>44402</v>
      </c>
      <c r="B231">
        <v>304886</v>
      </c>
      <c r="C231">
        <v>405337</v>
      </c>
      <c r="D231" t="s">
        <v>446</v>
      </c>
      <c r="E231">
        <v>340</v>
      </c>
    </row>
    <row r="232" spans="1:5" x14ac:dyDescent="0.25">
      <c r="A232" s="10">
        <v>44402</v>
      </c>
      <c r="B232">
        <v>304881</v>
      </c>
      <c r="C232">
        <v>461887</v>
      </c>
      <c r="D232" t="s">
        <v>447</v>
      </c>
      <c r="E232">
        <v>344</v>
      </c>
    </row>
    <row r="233" spans="1:5" x14ac:dyDescent="0.25">
      <c r="A233" s="10">
        <v>44402</v>
      </c>
      <c r="B233">
        <v>304881</v>
      </c>
      <c r="C233">
        <v>415600</v>
      </c>
      <c r="D233" t="s">
        <v>448</v>
      </c>
      <c r="E233">
        <v>348</v>
      </c>
    </row>
    <row r="234" spans="1:5" x14ac:dyDescent="0.25">
      <c r="A234" s="10">
        <v>44402</v>
      </c>
      <c r="B234">
        <v>304881</v>
      </c>
      <c r="C234">
        <v>461885</v>
      </c>
      <c r="D234" t="s">
        <v>449</v>
      </c>
      <c r="E234">
        <v>352</v>
      </c>
    </row>
    <row r="235" spans="1:5" x14ac:dyDescent="0.25">
      <c r="A235" s="10">
        <v>44402</v>
      </c>
      <c r="B235">
        <v>304881</v>
      </c>
      <c r="C235">
        <v>434749</v>
      </c>
      <c r="D235" t="s">
        <v>450</v>
      </c>
      <c r="E235">
        <v>356</v>
      </c>
    </row>
    <row r="236" spans="1:5" x14ac:dyDescent="0.25">
      <c r="A236" s="10">
        <v>44402</v>
      </c>
      <c r="B236">
        <v>304881</v>
      </c>
      <c r="C236" t="s">
        <v>112</v>
      </c>
      <c r="D236" t="s">
        <v>451</v>
      </c>
      <c r="E236">
        <v>366</v>
      </c>
    </row>
    <row r="237" spans="1:5" x14ac:dyDescent="0.25">
      <c r="A237" s="10">
        <v>44402</v>
      </c>
      <c r="B237">
        <v>304883</v>
      </c>
      <c r="C237">
        <v>432597</v>
      </c>
      <c r="D237" t="s">
        <v>452</v>
      </c>
      <c r="E237">
        <v>321</v>
      </c>
    </row>
    <row r="238" spans="1:5" x14ac:dyDescent="0.25">
      <c r="A238" s="10">
        <v>44402</v>
      </c>
      <c r="B238">
        <v>304883</v>
      </c>
      <c r="C238" t="s">
        <v>194</v>
      </c>
      <c r="D238" t="s">
        <v>453</v>
      </c>
      <c r="E238">
        <v>325</v>
      </c>
    </row>
    <row r="239" spans="1:5" x14ac:dyDescent="0.25">
      <c r="A239" s="10">
        <v>44402</v>
      </c>
      <c r="B239">
        <v>304883</v>
      </c>
      <c r="C239">
        <v>432598</v>
      </c>
      <c r="D239" t="s">
        <v>454</v>
      </c>
      <c r="E239">
        <v>337</v>
      </c>
    </row>
    <row r="240" spans="1:5" x14ac:dyDescent="0.25">
      <c r="A240" s="10">
        <v>44402</v>
      </c>
      <c r="B240">
        <v>304885</v>
      </c>
      <c r="C240">
        <v>86415</v>
      </c>
      <c r="D240" t="s">
        <v>455</v>
      </c>
      <c r="E240">
        <v>357</v>
      </c>
    </row>
    <row r="241" spans="1:5" x14ac:dyDescent="0.25">
      <c r="A241" s="10">
        <v>44402</v>
      </c>
      <c r="B241">
        <v>304881</v>
      </c>
      <c r="C241">
        <v>461886</v>
      </c>
      <c r="D241" t="s">
        <v>456</v>
      </c>
      <c r="E241">
        <v>361</v>
      </c>
    </row>
    <row r="242" spans="1:5" x14ac:dyDescent="0.25">
      <c r="A242" s="10">
        <v>44402</v>
      </c>
      <c r="B242">
        <v>304881</v>
      </c>
      <c r="C242">
        <v>320763</v>
      </c>
      <c r="D242" t="s">
        <v>457</v>
      </c>
      <c r="E242">
        <v>365</v>
      </c>
    </row>
    <row r="243" spans="1:5" x14ac:dyDescent="0.25">
      <c r="A243" s="10">
        <v>44402</v>
      </c>
      <c r="B243">
        <v>304886</v>
      </c>
      <c r="C243">
        <v>87511</v>
      </c>
      <c r="D243" t="s">
        <v>458</v>
      </c>
      <c r="E243">
        <v>615</v>
      </c>
    </row>
    <row r="244" spans="1:5" x14ac:dyDescent="0.25">
      <c r="A244" s="10">
        <v>44406</v>
      </c>
      <c r="B244">
        <v>304988</v>
      </c>
      <c r="C244">
        <v>432600</v>
      </c>
      <c r="D244" t="s">
        <v>417</v>
      </c>
      <c r="E244">
        <v>124</v>
      </c>
    </row>
    <row r="245" spans="1:5" x14ac:dyDescent="0.25">
      <c r="A245" s="10">
        <v>44406</v>
      </c>
      <c r="B245">
        <v>304988</v>
      </c>
      <c r="C245">
        <v>432595</v>
      </c>
      <c r="D245" t="s">
        <v>418</v>
      </c>
      <c r="E245">
        <v>128</v>
      </c>
    </row>
    <row r="246" spans="1:5" x14ac:dyDescent="0.25">
      <c r="A246" s="10">
        <v>44406</v>
      </c>
      <c r="B246">
        <v>304886</v>
      </c>
      <c r="C246" t="s">
        <v>141</v>
      </c>
      <c r="D246" t="s">
        <v>419</v>
      </c>
      <c r="E246">
        <v>132</v>
      </c>
    </row>
    <row r="247" spans="1:5" x14ac:dyDescent="0.25">
      <c r="A247" s="10">
        <v>44406</v>
      </c>
      <c r="B247">
        <v>304988</v>
      </c>
      <c r="C247">
        <v>84334</v>
      </c>
      <c r="D247" t="s">
        <v>420</v>
      </c>
      <c r="E247">
        <v>136</v>
      </c>
    </row>
    <row r="248" spans="1:5" x14ac:dyDescent="0.25">
      <c r="A248" s="10">
        <v>44406</v>
      </c>
      <c r="B248">
        <v>304988</v>
      </c>
      <c r="C248" t="s">
        <v>197</v>
      </c>
      <c r="D248" t="s">
        <v>421</v>
      </c>
      <c r="E248">
        <v>140</v>
      </c>
    </row>
    <row r="249" spans="1:5" x14ac:dyDescent="0.25">
      <c r="A249" s="10">
        <v>44406</v>
      </c>
      <c r="B249">
        <v>304887</v>
      </c>
      <c r="C249" t="s">
        <v>163</v>
      </c>
      <c r="D249" t="s">
        <v>422</v>
      </c>
      <c r="E249">
        <v>144</v>
      </c>
    </row>
    <row r="250" spans="1:5" x14ac:dyDescent="0.25">
      <c r="A250" s="10">
        <v>44406</v>
      </c>
      <c r="B250">
        <v>304882</v>
      </c>
      <c r="C250">
        <v>317398</v>
      </c>
      <c r="D250" t="s">
        <v>423</v>
      </c>
      <c r="E250">
        <v>148</v>
      </c>
    </row>
    <row r="251" spans="1:5" x14ac:dyDescent="0.25">
      <c r="A251" s="10">
        <v>44406</v>
      </c>
      <c r="B251">
        <v>304887</v>
      </c>
      <c r="C251">
        <v>411264</v>
      </c>
      <c r="D251" t="s">
        <v>424</v>
      </c>
      <c r="E251">
        <v>152</v>
      </c>
    </row>
    <row r="252" spans="1:5" x14ac:dyDescent="0.25">
      <c r="A252" s="10">
        <v>44406</v>
      </c>
      <c r="B252">
        <v>304887</v>
      </c>
      <c r="C252">
        <v>420522</v>
      </c>
      <c r="D252" t="s">
        <v>425</v>
      </c>
      <c r="E252">
        <v>156</v>
      </c>
    </row>
    <row r="253" spans="1:5" x14ac:dyDescent="0.25">
      <c r="A253" s="10">
        <v>44406</v>
      </c>
      <c r="B253">
        <v>304887</v>
      </c>
      <c r="C253">
        <v>431154</v>
      </c>
      <c r="D253" t="s">
        <v>426</v>
      </c>
      <c r="E253">
        <v>160</v>
      </c>
    </row>
    <row r="254" spans="1:5" x14ac:dyDescent="0.25">
      <c r="A254" s="10">
        <v>44406</v>
      </c>
      <c r="B254">
        <v>304887</v>
      </c>
      <c r="C254" t="s">
        <v>128</v>
      </c>
      <c r="D254" t="s">
        <v>427</v>
      </c>
      <c r="E254">
        <v>162</v>
      </c>
    </row>
    <row r="255" spans="1:5" x14ac:dyDescent="0.25">
      <c r="A255" s="10">
        <v>44406</v>
      </c>
      <c r="B255">
        <v>304887</v>
      </c>
      <c r="C255" t="s">
        <v>198</v>
      </c>
      <c r="D255" t="s">
        <v>428</v>
      </c>
      <c r="E255">
        <v>164</v>
      </c>
    </row>
    <row r="256" spans="1:5" x14ac:dyDescent="0.25">
      <c r="A256" s="10">
        <v>44406</v>
      </c>
      <c r="B256">
        <v>304881</v>
      </c>
      <c r="C256">
        <v>434748</v>
      </c>
      <c r="D256" t="s">
        <v>429</v>
      </c>
      <c r="E256">
        <v>121</v>
      </c>
    </row>
    <row r="257" spans="1:5" x14ac:dyDescent="0.25">
      <c r="A257" s="10">
        <v>44406</v>
      </c>
      <c r="B257">
        <v>304881</v>
      </c>
      <c r="C257">
        <v>424959</v>
      </c>
      <c r="D257" t="s">
        <v>430</v>
      </c>
      <c r="E257">
        <v>125</v>
      </c>
    </row>
    <row r="258" spans="1:5" x14ac:dyDescent="0.25">
      <c r="A258" s="10">
        <v>44406</v>
      </c>
      <c r="B258">
        <v>304887</v>
      </c>
      <c r="C258">
        <v>417342</v>
      </c>
      <c r="D258" t="s">
        <v>431</v>
      </c>
      <c r="E258">
        <v>129</v>
      </c>
    </row>
    <row r="259" spans="1:5" x14ac:dyDescent="0.25">
      <c r="A259" s="10">
        <v>44406</v>
      </c>
      <c r="B259">
        <v>304882</v>
      </c>
      <c r="C259">
        <v>316421</v>
      </c>
      <c r="D259" t="s">
        <v>432</v>
      </c>
      <c r="E259">
        <v>133</v>
      </c>
    </row>
    <row r="260" spans="1:5" x14ac:dyDescent="0.25">
      <c r="A260" s="10">
        <v>44406</v>
      </c>
      <c r="B260">
        <v>304881</v>
      </c>
      <c r="C260">
        <v>404394</v>
      </c>
      <c r="D260" t="s">
        <v>433</v>
      </c>
      <c r="E260">
        <v>137</v>
      </c>
    </row>
    <row r="261" spans="1:5" x14ac:dyDescent="0.25">
      <c r="A261" s="10">
        <v>44406</v>
      </c>
      <c r="B261">
        <v>304887</v>
      </c>
      <c r="C261">
        <v>409256</v>
      </c>
      <c r="D261" t="s">
        <v>434</v>
      </c>
      <c r="E261">
        <v>141</v>
      </c>
    </row>
    <row r="262" spans="1:5" x14ac:dyDescent="0.25">
      <c r="A262" s="10">
        <v>44406</v>
      </c>
      <c r="B262">
        <v>304882</v>
      </c>
      <c r="C262">
        <v>400398</v>
      </c>
      <c r="D262" t="s">
        <v>435</v>
      </c>
      <c r="E262">
        <v>145</v>
      </c>
    </row>
    <row r="263" spans="1:5" x14ac:dyDescent="0.25">
      <c r="A263" s="10">
        <v>44406</v>
      </c>
      <c r="B263">
        <v>304887</v>
      </c>
      <c r="C263">
        <v>404439</v>
      </c>
      <c r="D263" t="s">
        <v>436</v>
      </c>
      <c r="E263">
        <v>149</v>
      </c>
    </row>
    <row r="264" spans="1:5" x14ac:dyDescent="0.25">
      <c r="A264" s="10">
        <v>44406</v>
      </c>
      <c r="B264">
        <v>304887</v>
      </c>
      <c r="C264">
        <v>417490</v>
      </c>
      <c r="D264" t="s">
        <v>437</v>
      </c>
      <c r="E264">
        <v>153</v>
      </c>
    </row>
    <row r="265" spans="1:5" x14ac:dyDescent="0.25">
      <c r="A265" s="10">
        <v>44406</v>
      </c>
      <c r="B265">
        <v>304887</v>
      </c>
      <c r="C265">
        <v>87502</v>
      </c>
      <c r="D265" t="s">
        <v>438</v>
      </c>
      <c r="E265">
        <v>157</v>
      </c>
    </row>
    <row r="266" spans="1:5" x14ac:dyDescent="0.25">
      <c r="A266" s="10">
        <v>44406</v>
      </c>
      <c r="B266">
        <v>304887</v>
      </c>
      <c r="C266">
        <v>431085</v>
      </c>
      <c r="D266" t="s">
        <v>439</v>
      </c>
      <c r="E266">
        <v>161</v>
      </c>
    </row>
    <row r="267" spans="1:5" x14ac:dyDescent="0.25">
      <c r="A267" s="10">
        <v>44406</v>
      </c>
      <c r="B267">
        <v>304882</v>
      </c>
      <c r="C267">
        <v>320300</v>
      </c>
      <c r="D267" t="s">
        <v>440</v>
      </c>
      <c r="E267">
        <v>165</v>
      </c>
    </row>
    <row r="268" spans="1:5" x14ac:dyDescent="0.25">
      <c r="A268" s="10">
        <v>44406</v>
      </c>
      <c r="B268">
        <v>304882</v>
      </c>
      <c r="C268" t="s">
        <v>111</v>
      </c>
      <c r="D268" t="s">
        <v>441</v>
      </c>
      <c r="E268">
        <v>169</v>
      </c>
    </row>
    <row r="269" spans="1:5" x14ac:dyDescent="0.25">
      <c r="A269" s="10">
        <v>44406</v>
      </c>
      <c r="B269">
        <v>304914</v>
      </c>
      <c r="C269">
        <v>425044</v>
      </c>
      <c r="D269" t="s">
        <v>442</v>
      </c>
      <c r="E269">
        <v>224</v>
      </c>
    </row>
    <row r="270" spans="1:5" x14ac:dyDescent="0.25">
      <c r="A270" s="10">
        <v>44406</v>
      </c>
      <c r="B270">
        <v>304914</v>
      </c>
      <c r="C270">
        <v>425045</v>
      </c>
      <c r="D270" t="s">
        <v>443</v>
      </c>
      <c r="E270">
        <v>228</v>
      </c>
    </row>
    <row r="271" spans="1:5" x14ac:dyDescent="0.25">
      <c r="A271" s="10">
        <v>44406</v>
      </c>
      <c r="B271">
        <v>304914</v>
      </c>
      <c r="C271" t="s">
        <v>92</v>
      </c>
      <c r="D271" t="s">
        <v>444</v>
      </c>
      <c r="E271">
        <v>232</v>
      </c>
    </row>
    <row r="272" spans="1:5" x14ac:dyDescent="0.25">
      <c r="A272" s="10">
        <v>44406</v>
      </c>
      <c r="B272">
        <v>304914</v>
      </c>
      <c r="C272">
        <v>421733</v>
      </c>
      <c r="D272" t="s">
        <v>445</v>
      </c>
      <c r="E272">
        <v>236</v>
      </c>
    </row>
    <row r="273" spans="1:5" x14ac:dyDescent="0.25">
      <c r="A273" s="10">
        <v>44406</v>
      </c>
      <c r="B273">
        <v>304914</v>
      </c>
      <c r="C273">
        <v>421730</v>
      </c>
      <c r="D273" t="s">
        <v>446</v>
      </c>
      <c r="E273">
        <v>240</v>
      </c>
    </row>
    <row r="274" spans="1:5" x14ac:dyDescent="0.25">
      <c r="A274" s="10">
        <v>44406</v>
      </c>
      <c r="B274">
        <v>304914</v>
      </c>
      <c r="C274">
        <v>425046</v>
      </c>
      <c r="D274" t="s">
        <v>447</v>
      </c>
      <c r="E274">
        <v>244</v>
      </c>
    </row>
    <row r="275" spans="1:5" x14ac:dyDescent="0.25">
      <c r="A275" s="10">
        <v>44406</v>
      </c>
      <c r="B275">
        <v>304914</v>
      </c>
      <c r="C275">
        <v>439935</v>
      </c>
      <c r="D275" t="s">
        <v>448</v>
      </c>
      <c r="E275">
        <v>248</v>
      </c>
    </row>
    <row r="276" spans="1:5" x14ac:dyDescent="0.25">
      <c r="A276" s="10">
        <v>44406</v>
      </c>
      <c r="B276">
        <v>304914</v>
      </c>
      <c r="C276" t="s">
        <v>93</v>
      </c>
      <c r="D276" t="s">
        <v>449</v>
      </c>
      <c r="E276">
        <v>252</v>
      </c>
    </row>
    <row r="277" spans="1:5" x14ac:dyDescent="0.25">
      <c r="A277" s="10">
        <v>44406</v>
      </c>
      <c r="B277">
        <v>304885</v>
      </c>
      <c r="C277">
        <v>412667</v>
      </c>
      <c r="D277" t="s">
        <v>450</v>
      </c>
      <c r="E277">
        <v>256</v>
      </c>
    </row>
    <row r="278" spans="1:5" x14ac:dyDescent="0.25">
      <c r="A278" s="10">
        <v>44406</v>
      </c>
      <c r="B278">
        <v>304914</v>
      </c>
      <c r="C278" t="s">
        <v>94</v>
      </c>
      <c r="D278" t="s">
        <v>451</v>
      </c>
      <c r="E278">
        <v>260</v>
      </c>
    </row>
    <row r="279" spans="1:5" x14ac:dyDescent="0.25">
      <c r="A279" s="10">
        <v>44406</v>
      </c>
      <c r="B279">
        <v>304914</v>
      </c>
      <c r="C279">
        <v>262262</v>
      </c>
      <c r="D279" t="s">
        <v>452</v>
      </c>
      <c r="E279">
        <v>262</v>
      </c>
    </row>
    <row r="280" spans="1:5" x14ac:dyDescent="0.25">
      <c r="A280" s="10">
        <v>44406</v>
      </c>
      <c r="B280">
        <v>304914</v>
      </c>
      <c r="C280" t="s">
        <v>130</v>
      </c>
      <c r="D280" t="s">
        <v>453</v>
      </c>
      <c r="E280">
        <v>264</v>
      </c>
    </row>
    <row r="281" spans="1:5" x14ac:dyDescent="0.25">
      <c r="A281" s="10">
        <v>44406</v>
      </c>
      <c r="B281">
        <v>304914</v>
      </c>
      <c r="C281" t="s">
        <v>144</v>
      </c>
      <c r="D281" t="s">
        <v>454</v>
      </c>
      <c r="E281">
        <v>266</v>
      </c>
    </row>
    <row r="282" spans="1:5" x14ac:dyDescent="0.25">
      <c r="A282" s="10">
        <v>44406</v>
      </c>
      <c r="B282">
        <v>304884</v>
      </c>
      <c r="C282">
        <v>99450</v>
      </c>
      <c r="D282" t="s">
        <v>455</v>
      </c>
      <c r="E282">
        <v>221</v>
      </c>
    </row>
    <row r="283" spans="1:5" x14ac:dyDescent="0.25">
      <c r="A283" s="10">
        <v>44406</v>
      </c>
      <c r="B283">
        <v>304884</v>
      </c>
      <c r="C283">
        <v>403441</v>
      </c>
      <c r="D283" t="s">
        <v>456</v>
      </c>
      <c r="E283">
        <v>225</v>
      </c>
    </row>
    <row r="284" spans="1:5" x14ac:dyDescent="0.25">
      <c r="A284" s="10">
        <v>44406</v>
      </c>
      <c r="B284">
        <v>304884</v>
      </c>
      <c r="C284">
        <v>86159</v>
      </c>
      <c r="D284" t="s">
        <v>457</v>
      </c>
      <c r="E284">
        <v>229</v>
      </c>
    </row>
    <row r="285" spans="1:5" x14ac:dyDescent="0.25">
      <c r="A285" s="10">
        <v>44406</v>
      </c>
      <c r="B285">
        <v>304988</v>
      </c>
      <c r="C285" t="s">
        <v>199</v>
      </c>
      <c r="D285" t="s">
        <v>458</v>
      </c>
      <c r="E285">
        <v>233</v>
      </c>
    </row>
    <row r="286" spans="1:5" x14ac:dyDescent="0.25">
      <c r="A286" s="10">
        <v>44406</v>
      </c>
      <c r="B286">
        <v>304988</v>
      </c>
      <c r="C286">
        <v>85227</v>
      </c>
      <c r="D286" t="s">
        <v>459</v>
      </c>
      <c r="E286">
        <v>237</v>
      </c>
    </row>
    <row r="287" spans="1:5" x14ac:dyDescent="0.25">
      <c r="A287" s="10">
        <v>44406</v>
      </c>
      <c r="B287">
        <v>304884</v>
      </c>
      <c r="C287">
        <v>423185</v>
      </c>
      <c r="D287" t="s">
        <v>460</v>
      </c>
      <c r="E287">
        <v>241</v>
      </c>
    </row>
    <row r="288" spans="1:5" x14ac:dyDescent="0.25">
      <c r="A288" s="10">
        <v>44406</v>
      </c>
      <c r="B288">
        <v>304882</v>
      </c>
      <c r="C288">
        <v>316420</v>
      </c>
      <c r="D288" t="s">
        <v>461</v>
      </c>
      <c r="E288">
        <v>245</v>
      </c>
    </row>
    <row r="289" spans="1:5" x14ac:dyDescent="0.25">
      <c r="A289" s="10">
        <v>44406</v>
      </c>
      <c r="B289">
        <v>304884</v>
      </c>
      <c r="C289">
        <v>314246</v>
      </c>
      <c r="D289" t="s">
        <v>462</v>
      </c>
      <c r="E289">
        <v>249</v>
      </c>
    </row>
    <row r="290" spans="1:5" x14ac:dyDescent="0.25">
      <c r="A290" s="10">
        <v>44406</v>
      </c>
      <c r="B290">
        <v>304884</v>
      </c>
      <c r="C290">
        <v>75182</v>
      </c>
      <c r="D290" t="s">
        <v>463</v>
      </c>
      <c r="E290">
        <v>253</v>
      </c>
    </row>
    <row r="291" spans="1:5" x14ac:dyDescent="0.25">
      <c r="A291" s="10">
        <v>44406</v>
      </c>
      <c r="B291">
        <v>304884</v>
      </c>
      <c r="C291">
        <v>425293</v>
      </c>
      <c r="D291" t="s">
        <v>464</v>
      </c>
      <c r="E291">
        <v>257</v>
      </c>
    </row>
    <row r="292" spans="1:5" x14ac:dyDescent="0.25">
      <c r="A292" s="10">
        <v>44406</v>
      </c>
      <c r="B292">
        <v>304884</v>
      </c>
      <c r="C292">
        <v>328267</v>
      </c>
      <c r="D292" t="s">
        <v>465</v>
      </c>
      <c r="E292">
        <v>261</v>
      </c>
    </row>
    <row r="293" spans="1:5" x14ac:dyDescent="0.25">
      <c r="A293" s="10">
        <v>44406</v>
      </c>
      <c r="B293">
        <v>304882</v>
      </c>
      <c r="C293">
        <v>72736</v>
      </c>
      <c r="D293" t="s">
        <v>466</v>
      </c>
      <c r="E293">
        <v>265</v>
      </c>
    </row>
    <row r="294" spans="1:5" x14ac:dyDescent="0.25">
      <c r="A294" s="10">
        <v>44406</v>
      </c>
      <c r="B294">
        <v>304883</v>
      </c>
      <c r="C294" t="s">
        <v>149</v>
      </c>
      <c r="D294" t="s">
        <v>467</v>
      </c>
      <c r="E294">
        <v>324</v>
      </c>
    </row>
    <row r="295" spans="1:5" x14ac:dyDescent="0.25">
      <c r="A295" s="10">
        <v>44406</v>
      </c>
      <c r="B295">
        <v>304885</v>
      </c>
      <c r="C295">
        <v>321367</v>
      </c>
      <c r="D295" t="s">
        <v>468</v>
      </c>
      <c r="E295">
        <v>328</v>
      </c>
    </row>
    <row r="296" spans="1:5" x14ac:dyDescent="0.25">
      <c r="A296" s="10">
        <v>44406</v>
      </c>
      <c r="B296">
        <v>304883</v>
      </c>
      <c r="C296" t="s">
        <v>145</v>
      </c>
      <c r="D296" t="s">
        <v>469</v>
      </c>
      <c r="E296">
        <v>332</v>
      </c>
    </row>
    <row r="297" spans="1:5" x14ac:dyDescent="0.25">
      <c r="A297" s="10">
        <v>44406</v>
      </c>
      <c r="B297">
        <v>304885</v>
      </c>
      <c r="C297">
        <v>87377</v>
      </c>
      <c r="D297" t="s">
        <v>470</v>
      </c>
      <c r="E297">
        <v>336</v>
      </c>
    </row>
    <row r="298" spans="1:5" x14ac:dyDescent="0.25">
      <c r="A298" s="10">
        <v>44406</v>
      </c>
      <c r="B298">
        <v>304886</v>
      </c>
      <c r="C298">
        <v>405337</v>
      </c>
      <c r="D298" t="s">
        <v>471</v>
      </c>
      <c r="E298">
        <v>340</v>
      </c>
    </row>
    <row r="299" spans="1:5" x14ac:dyDescent="0.25">
      <c r="A299" s="10">
        <v>44406</v>
      </c>
      <c r="B299">
        <v>304881</v>
      </c>
      <c r="C299">
        <v>461887</v>
      </c>
      <c r="D299" t="s">
        <v>472</v>
      </c>
      <c r="E299">
        <v>344</v>
      </c>
    </row>
    <row r="300" spans="1:5" x14ac:dyDescent="0.25">
      <c r="A300" s="10">
        <v>44406</v>
      </c>
      <c r="B300">
        <v>304881</v>
      </c>
      <c r="C300">
        <v>415600</v>
      </c>
      <c r="D300" t="s">
        <v>473</v>
      </c>
      <c r="E300">
        <v>348</v>
      </c>
    </row>
    <row r="301" spans="1:5" x14ac:dyDescent="0.25">
      <c r="A301" s="10">
        <v>44406</v>
      </c>
      <c r="B301">
        <v>304881</v>
      </c>
      <c r="C301">
        <v>461885</v>
      </c>
      <c r="D301" t="s">
        <v>474</v>
      </c>
      <c r="E301">
        <v>352</v>
      </c>
    </row>
    <row r="302" spans="1:5" x14ac:dyDescent="0.25">
      <c r="A302" s="10">
        <v>44406</v>
      </c>
      <c r="B302">
        <v>304881</v>
      </c>
      <c r="C302">
        <v>434749</v>
      </c>
      <c r="D302" t="s">
        <v>475</v>
      </c>
      <c r="E302">
        <v>356</v>
      </c>
    </row>
    <row r="303" spans="1:5" x14ac:dyDescent="0.25">
      <c r="A303" s="10">
        <v>44406</v>
      </c>
      <c r="B303">
        <v>304881</v>
      </c>
      <c r="C303" t="s">
        <v>200</v>
      </c>
      <c r="D303" t="s">
        <v>476</v>
      </c>
      <c r="E303">
        <v>362</v>
      </c>
    </row>
    <row r="304" spans="1:5" x14ac:dyDescent="0.25">
      <c r="A304" s="10">
        <v>44406</v>
      </c>
      <c r="B304">
        <v>304881</v>
      </c>
      <c r="C304" t="s">
        <v>201</v>
      </c>
      <c r="D304" t="s">
        <v>477</v>
      </c>
      <c r="E304">
        <v>366</v>
      </c>
    </row>
    <row r="305" spans="1:5" x14ac:dyDescent="0.25">
      <c r="A305" s="10">
        <v>44406</v>
      </c>
      <c r="B305">
        <v>304881</v>
      </c>
      <c r="C305" t="s">
        <v>97</v>
      </c>
      <c r="D305" t="s">
        <v>478</v>
      </c>
      <c r="E305">
        <v>368</v>
      </c>
    </row>
    <row r="306" spans="1:5" x14ac:dyDescent="0.25">
      <c r="A306" s="10">
        <v>44406</v>
      </c>
      <c r="B306">
        <v>304885</v>
      </c>
      <c r="C306" t="s">
        <v>166</v>
      </c>
      <c r="D306" t="s">
        <v>479</v>
      </c>
      <c r="E306">
        <v>370</v>
      </c>
    </row>
    <row r="307" spans="1:5" x14ac:dyDescent="0.25">
      <c r="A307" s="10">
        <v>44406</v>
      </c>
      <c r="B307">
        <v>304882</v>
      </c>
      <c r="C307" t="s">
        <v>98</v>
      </c>
      <c r="D307" t="s">
        <v>480</v>
      </c>
      <c r="E307">
        <v>376</v>
      </c>
    </row>
    <row r="308" spans="1:5" x14ac:dyDescent="0.25">
      <c r="A308" s="10">
        <v>44406</v>
      </c>
      <c r="B308">
        <v>304883</v>
      </c>
      <c r="C308">
        <v>432597</v>
      </c>
      <c r="D308" t="s">
        <v>481</v>
      </c>
      <c r="E308">
        <v>321</v>
      </c>
    </row>
    <row r="309" spans="1:5" x14ac:dyDescent="0.25">
      <c r="A309" s="10">
        <v>44406</v>
      </c>
      <c r="B309">
        <v>304883</v>
      </c>
      <c r="C309" t="s">
        <v>99</v>
      </c>
      <c r="D309" t="s">
        <v>482</v>
      </c>
      <c r="E309">
        <v>325</v>
      </c>
    </row>
    <row r="310" spans="1:5" x14ac:dyDescent="0.25">
      <c r="A310" s="10">
        <v>44406</v>
      </c>
      <c r="B310">
        <v>304883</v>
      </c>
      <c r="C310" t="s">
        <v>202</v>
      </c>
      <c r="D310" t="s">
        <v>483</v>
      </c>
      <c r="E310">
        <v>329</v>
      </c>
    </row>
    <row r="311" spans="1:5" x14ac:dyDescent="0.25">
      <c r="A311" s="10">
        <v>44406</v>
      </c>
      <c r="B311">
        <v>304883</v>
      </c>
      <c r="C311" t="s">
        <v>202</v>
      </c>
      <c r="D311" t="s">
        <v>484</v>
      </c>
      <c r="E311">
        <v>329</v>
      </c>
    </row>
    <row r="312" spans="1:5" x14ac:dyDescent="0.25">
      <c r="A312" s="10">
        <v>44406</v>
      </c>
      <c r="B312">
        <v>304883</v>
      </c>
      <c r="C312" t="s">
        <v>202</v>
      </c>
      <c r="D312" t="s">
        <v>485</v>
      </c>
      <c r="E312">
        <v>329</v>
      </c>
    </row>
    <row r="313" spans="1:5" x14ac:dyDescent="0.25">
      <c r="A313" s="10">
        <v>44406</v>
      </c>
      <c r="B313">
        <v>304883</v>
      </c>
      <c r="C313">
        <v>99443</v>
      </c>
      <c r="D313" t="s">
        <v>486</v>
      </c>
      <c r="E313">
        <v>333</v>
      </c>
    </row>
    <row r="314" spans="1:5" x14ac:dyDescent="0.25">
      <c r="A314" s="10">
        <v>44406</v>
      </c>
      <c r="B314">
        <v>304883</v>
      </c>
      <c r="C314" t="s">
        <v>176</v>
      </c>
      <c r="D314" t="s">
        <v>487</v>
      </c>
      <c r="E314">
        <v>337</v>
      </c>
    </row>
    <row r="315" spans="1:5" x14ac:dyDescent="0.25">
      <c r="A315" s="10">
        <v>44406</v>
      </c>
      <c r="B315">
        <v>304883</v>
      </c>
      <c r="C315">
        <v>310821</v>
      </c>
      <c r="D315" t="s">
        <v>488</v>
      </c>
      <c r="E315">
        <v>341</v>
      </c>
    </row>
    <row r="316" spans="1:5" x14ac:dyDescent="0.25">
      <c r="A316" s="10">
        <v>44406</v>
      </c>
      <c r="B316">
        <v>304885</v>
      </c>
      <c r="C316">
        <v>87376</v>
      </c>
      <c r="D316" t="s">
        <v>489</v>
      </c>
      <c r="E316">
        <v>345</v>
      </c>
    </row>
    <row r="317" spans="1:5" x14ac:dyDescent="0.25">
      <c r="A317" s="10">
        <v>44406</v>
      </c>
      <c r="B317">
        <v>304885</v>
      </c>
      <c r="C317">
        <v>414479</v>
      </c>
      <c r="D317" t="s">
        <v>490</v>
      </c>
      <c r="E317">
        <v>349</v>
      </c>
    </row>
    <row r="318" spans="1:5" x14ac:dyDescent="0.25">
      <c r="A318" s="10">
        <v>44406</v>
      </c>
      <c r="B318">
        <v>304885</v>
      </c>
      <c r="C318">
        <v>402666</v>
      </c>
      <c r="D318" t="s">
        <v>491</v>
      </c>
      <c r="E318">
        <v>353</v>
      </c>
    </row>
    <row r="319" spans="1:5" x14ac:dyDescent="0.25">
      <c r="A319" s="10">
        <v>44406</v>
      </c>
      <c r="B319">
        <v>304885</v>
      </c>
      <c r="C319" t="s">
        <v>133</v>
      </c>
      <c r="D319" t="s">
        <v>492</v>
      </c>
      <c r="E319">
        <v>357</v>
      </c>
    </row>
    <row r="320" spans="1:5" x14ac:dyDescent="0.25">
      <c r="A320" s="10">
        <v>44406</v>
      </c>
      <c r="B320">
        <v>304881</v>
      </c>
      <c r="C320">
        <v>461886</v>
      </c>
      <c r="D320" t="s">
        <v>493</v>
      </c>
      <c r="E320">
        <v>361</v>
      </c>
    </row>
    <row r="321" spans="1:5" x14ac:dyDescent="0.25">
      <c r="A321" s="10">
        <v>44406</v>
      </c>
      <c r="B321">
        <v>304881</v>
      </c>
      <c r="C321">
        <v>320763</v>
      </c>
      <c r="D321" t="s">
        <v>494</v>
      </c>
      <c r="E321">
        <v>365</v>
      </c>
    </row>
    <row r="322" spans="1:5" x14ac:dyDescent="0.25">
      <c r="A322" s="10">
        <v>44406</v>
      </c>
      <c r="B322">
        <v>304881</v>
      </c>
      <c r="C322" t="s">
        <v>113</v>
      </c>
      <c r="D322" t="s">
        <v>495</v>
      </c>
      <c r="E322">
        <v>369</v>
      </c>
    </row>
    <row r="323" spans="1:5" x14ac:dyDescent="0.25">
      <c r="A323" s="10">
        <v>44406</v>
      </c>
      <c r="B323">
        <v>304887</v>
      </c>
      <c r="C323">
        <v>203589</v>
      </c>
      <c r="D323" t="s">
        <v>496</v>
      </c>
      <c r="E323">
        <v>420</v>
      </c>
    </row>
    <row r="324" spans="1:5" x14ac:dyDescent="0.25">
      <c r="A324" s="10">
        <v>44406</v>
      </c>
      <c r="B324">
        <v>304883</v>
      </c>
      <c r="C324" t="s">
        <v>203</v>
      </c>
      <c r="D324" t="s">
        <v>497</v>
      </c>
      <c r="E324">
        <v>436</v>
      </c>
    </row>
    <row r="325" spans="1:5" x14ac:dyDescent="0.25">
      <c r="A325" s="10">
        <v>44406</v>
      </c>
      <c r="B325">
        <v>304988</v>
      </c>
      <c r="C325">
        <v>440440</v>
      </c>
      <c r="D325" t="s">
        <v>498</v>
      </c>
      <c r="E325">
        <v>440</v>
      </c>
    </row>
    <row r="326" spans="1:5" x14ac:dyDescent="0.25">
      <c r="A326" s="10">
        <v>44406</v>
      </c>
      <c r="B326">
        <v>304887</v>
      </c>
      <c r="C326" t="s">
        <v>114</v>
      </c>
      <c r="D326" t="s">
        <v>499</v>
      </c>
      <c r="E326">
        <v>468</v>
      </c>
    </row>
    <row r="327" spans="1:5" x14ac:dyDescent="0.25">
      <c r="A327" s="10">
        <v>44406</v>
      </c>
      <c r="B327">
        <v>304887</v>
      </c>
      <c r="C327" t="s">
        <v>204</v>
      </c>
      <c r="D327" t="s">
        <v>500</v>
      </c>
      <c r="E327">
        <v>470</v>
      </c>
    </row>
    <row r="328" spans="1:5" x14ac:dyDescent="0.25">
      <c r="A328" s="10">
        <v>44406</v>
      </c>
      <c r="B328">
        <v>304882</v>
      </c>
      <c r="C328">
        <v>10413</v>
      </c>
      <c r="D328" t="s">
        <v>501</v>
      </c>
      <c r="E328">
        <v>472</v>
      </c>
    </row>
    <row r="329" spans="1:5" x14ac:dyDescent="0.25">
      <c r="A329" s="10">
        <v>44406</v>
      </c>
      <c r="B329">
        <v>304884</v>
      </c>
      <c r="C329" t="s">
        <v>181</v>
      </c>
      <c r="D329" t="s">
        <v>502</v>
      </c>
      <c r="E329">
        <v>419</v>
      </c>
    </row>
    <row r="330" spans="1:5" x14ac:dyDescent="0.25">
      <c r="A330" s="10">
        <v>44406</v>
      </c>
      <c r="B330">
        <v>304886</v>
      </c>
      <c r="C330">
        <v>14958</v>
      </c>
      <c r="D330" t="s">
        <v>503</v>
      </c>
      <c r="E330">
        <v>421</v>
      </c>
    </row>
    <row r="331" spans="1:5" x14ac:dyDescent="0.25">
      <c r="A331" s="10">
        <v>44406</v>
      </c>
      <c r="B331">
        <v>304881</v>
      </c>
      <c r="C331" t="s">
        <v>115</v>
      </c>
      <c r="D331" t="s">
        <v>504</v>
      </c>
      <c r="E331">
        <v>423</v>
      </c>
    </row>
    <row r="332" spans="1:5" x14ac:dyDescent="0.25">
      <c r="A332" s="10">
        <v>44406</v>
      </c>
      <c r="B332">
        <v>304883</v>
      </c>
      <c r="C332" t="s">
        <v>100</v>
      </c>
      <c r="D332" t="s">
        <v>505</v>
      </c>
      <c r="E332">
        <v>425</v>
      </c>
    </row>
    <row r="333" spans="1:5" x14ac:dyDescent="0.25">
      <c r="A333" s="10">
        <v>44406</v>
      </c>
      <c r="B333">
        <v>304884</v>
      </c>
      <c r="C333" t="s">
        <v>101</v>
      </c>
      <c r="D333" t="s">
        <v>506</v>
      </c>
      <c r="E333">
        <v>520</v>
      </c>
    </row>
    <row r="334" spans="1:5" x14ac:dyDescent="0.25">
      <c r="A334" s="10">
        <v>44406</v>
      </c>
      <c r="B334">
        <v>304884</v>
      </c>
      <c r="C334" t="s">
        <v>205</v>
      </c>
      <c r="D334" t="s">
        <v>507</v>
      </c>
      <c r="E334">
        <v>522</v>
      </c>
    </row>
    <row r="335" spans="1:5" x14ac:dyDescent="0.25">
      <c r="A335" s="10">
        <v>44406</v>
      </c>
      <c r="B335">
        <v>304884</v>
      </c>
      <c r="C335">
        <v>524524</v>
      </c>
      <c r="D335" t="s">
        <v>508</v>
      </c>
      <c r="E335">
        <v>524</v>
      </c>
    </row>
    <row r="336" spans="1:5" x14ac:dyDescent="0.25">
      <c r="A336" s="10">
        <v>44406</v>
      </c>
      <c r="B336">
        <v>304884</v>
      </c>
      <c r="C336" t="s">
        <v>136</v>
      </c>
      <c r="D336" t="s">
        <v>509</v>
      </c>
      <c r="E336">
        <v>526</v>
      </c>
    </row>
    <row r="337" spans="1:5" x14ac:dyDescent="0.25">
      <c r="A337" s="10">
        <v>44406</v>
      </c>
      <c r="B337">
        <v>304887</v>
      </c>
      <c r="C337">
        <v>530530</v>
      </c>
      <c r="D337" t="s">
        <v>510</v>
      </c>
      <c r="E337">
        <v>530</v>
      </c>
    </row>
    <row r="338" spans="1:5" x14ac:dyDescent="0.25">
      <c r="A338" s="10">
        <v>44406</v>
      </c>
      <c r="B338">
        <v>304881</v>
      </c>
      <c r="C338" t="s">
        <v>104</v>
      </c>
      <c r="D338" t="s">
        <v>511</v>
      </c>
      <c r="E338">
        <v>532</v>
      </c>
    </row>
    <row r="339" spans="1:5" x14ac:dyDescent="0.25">
      <c r="A339" s="10">
        <v>44406</v>
      </c>
      <c r="B339">
        <v>304881</v>
      </c>
      <c r="C339" t="s">
        <v>105</v>
      </c>
      <c r="D339" t="s">
        <v>512</v>
      </c>
      <c r="E339">
        <v>538</v>
      </c>
    </row>
    <row r="340" spans="1:5" x14ac:dyDescent="0.25">
      <c r="A340" s="10">
        <v>44406</v>
      </c>
      <c r="B340">
        <v>304886</v>
      </c>
      <c r="C340">
        <v>616616</v>
      </c>
      <c r="D340" t="s">
        <v>513</v>
      </c>
      <c r="E340">
        <v>616</v>
      </c>
    </row>
    <row r="341" spans="1:5" x14ac:dyDescent="0.25">
      <c r="A341" s="10">
        <v>44406</v>
      </c>
      <c r="B341">
        <v>304914</v>
      </c>
      <c r="C341" t="s">
        <v>206</v>
      </c>
      <c r="D341" t="s">
        <v>514</v>
      </c>
      <c r="E341">
        <v>638</v>
      </c>
    </row>
    <row r="342" spans="1:5" x14ac:dyDescent="0.25">
      <c r="A342" s="10">
        <v>44406</v>
      </c>
      <c r="B342">
        <v>304914</v>
      </c>
      <c r="C342" t="s">
        <v>207</v>
      </c>
      <c r="D342" t="s">
        <v>515</v>
      </c>
      <c r="E342">
        <v>640</v>
      </c>
    </row>
    <row r="343" spans="1:5" x14ac:dyDescent="0.25">
      <c r="A343" s="10">
        <v>44406</v>
      </c>
      <c r="B343">
        <v>304886</v>
      </c>
      <c r="C343" t="s">
        <v>177</v>
      </c>
      <c r="D343" t="s">
        <v>516</v>
      </c>
      <c r="E343">
        <v>654</v>
      </c>
    </row>
    <row r="344" spans="1:5" x14ac:dyDescent="0.25">
      <c r="A344" s="10">
        <v>44406</v>
      </c>
      <c r="B344">
        <v>304886</v>
      </c>
      <c r="C344" t="s">
        <v>185</v>
      </c>
      <c r="D344" t="s">
        <v>517</v>
      </c>
      <c r="E344">
        <v>656</v>
      </c>
    </row>
    <row r="345" spans="1:5" x14ac:dyDescent="0.25">
      <c r="A345" s="10">
        <v>44406</v>
      </c>
      <c r="B345">
        <v>304886</v>
      </c>
      <c r="C345" t="s">
        <v>186</v>
      </c>
      <c r="D345" t="s">
        <v>518</v>
      </c>
      <c r="E345">
        <v>660</v>
      </c>
    </row>
    <row r="346" spans="1:5" x14ac:dyDescent="0.25">
      <c r="A346" s="10">
        <v>44406</v>
      </c>
      <c r="B346">
        <v>304886</v>
      </c>
      <c r="C346" t="s">
        <v>187</v>
      </c>
      <c r="D346" t="s">
        <v>519</v>
      </c>
      <c r="E346">
        <v>668</v>
      </c>
    </row>
    <row r="347" spans="1:5" x14ac:dyDescent="0.25">
      <c r="A347" s="10">
        <v>44406</v>
      </c>
      <c r="B347">
        <v>304886</v>
      </c>
      <c r="C347">
        <v>87511</v>
      </c>
      <c r="D347" t="s">
        <v>520</v>
      </c>
      <c r="E347">
        <v>615</v>
      </c>
    </row>
    <row r="348" spans="1:5" x14ac:dyDescent="0.25">
      <c r="A348" s="10">
        <v>44406</v>
      </c>
      <c r="B348">
        <v>304914</v>
      </c>
      <c r="C348">
        <v>421736</v>
      </c>
      <c r="D348" t="s">
        <v>521</v>
      </c>
      <c r="E348">
        <v>617</v>
      </c>
    </row>
    <row r="349" spans="1:5" x14ac:dyDescent="0.25">
      <c r="A349" s="10">
        <v>44407</v>
      </c>
      <c r="B349">
        <v>304988</v>
      </c>
      <c r="C349">
        <v>432600</v>
      </c>
      <c r="D349" t="s">
        <v>417</v>
      </c>
      <c r="E349">
        <v>124</v>
      </c>
    </row>
    <row r="350" spans="1:5" x14ac:dyDescent="0.25">
      <c r="A350" s="10">
        <v>44407</v>
      </c>
      <c r="B350">
        <v>304988</v>
      </c>
      <c r="C350">
        <v>432595</v>
      </c>
      <c r="D350" t="s">
        <v>418</v>
      </c>
      <c r="E350">
        <v>128</v>
      </c>
    </row>
    <row r="351" spans="1:5" x14ac:dyDescent="0.25">
      <c r="A351" s="10">
        <v>44407</v>
      </c>
      <c r="B351">
        <v>304886</v>
      </c>
      <c r="C351" t="s">
        <v>141</v>
      </c>
      <c r="D351" t="s">
        <v>419</v>
      </c>
      <c r="E351">
        <v>132</v>
      </c>
    </row>
    <row r="352" spans="1:5" x14ac:dyDescent="0.25">
      <c r="A352" s="10">
        <v>44407</v>
      </c>
      <c r="B352">
        <v>304988</v>
      </c>
      <c r="C352">
        <v>84334</v>
      </c>
      <c r="D352" t="s">
        <v>420</v>
      </c>
      <c r="E352">
        <v>136</v>
      </c>
    </row>
    <row r="353" spans="1:5" x14ac:dyDescent="0.25">
      <c r="A353" s="10">
        <v>44407</v>
      </c>
      <c r="B353">
        <v>304988</v>
      </c>
      <c r="C353">
        <v>463875</v>
      </c>
      <c r="D353" t="s">
        <v>421</v>
      </c>
      <c r="E353">
        <v>140</v>
      </c>
    </row>
    <row r="354" spans="1:5" x14ac:dyDescent="0.25">
      <c r="A354" s="10">
        <v>44407</v>
      </c>
      <c r="B354">
        <v>304887</v>
      </c>
      <c r="C354">
        <v>461696</v>
      </c>
      <c r="D354" t="s">
        <v>422</v>
      </c>
      <c r="E354">
        <v>144</v>
      </c>
    </row>
    <row r="355" spans="1:5" x14ac:dyDescent="0.25">
      <c r="A355" s="10">
        <v>44407</v>
      </c>
      <c r="B355">
        <v>304882</v>
      </c>
      <c r="C355">
        <v>317398</v>
      </c>
      <c r="D355" t="s">
        <v>423</v>
      </c>
      <c r="E355">
        <v>148</v>
      </c>
    </row>
    <row r="356" spans="1:5" x14ac:dyDescent="0.25">
      <c r="A356" s="10">
        <v>44407</v>
      </c>
      <c r="B356">
        <v>304887</v>
      </c>
      <c r="C356">
        <v>411264</v>
      </c>
      <c r="D356" t="s">
        <v>424</v>
      </c>
      <c r="E356">
        <v>152</v>
      </c>
    </row>
    <row r="357" spans="1:5" x14ac:dyDescent="0.25">
      <c r="A357" s="10">
        <v>44407</v>
      </c>
      <c r="B357">
        <v>304887</v>
      </c>
      <c r="C357">
        <v>420522</v>
      </c>
      <c r="D357" t="s">
        <v>425</v>
      </c>
      <c r="E357">
        <v>156</v>
      </c>
    </row>
    <row r="358" spans="1:5" x14ac:dyDescent="0.25">
      <c r="A358" s="10">
        <v>44407</v>
      </c>
      <c r="B358">
        <v>304887</v>
      </c>
      <c r="C358">
        <v>431154</v>
      </c>
      <c r="D358" t="s">
        <v>426</v>
      </c>
      <c r="E358">
        <v>160</v>
      </c>
    </row>
    <row r="359" spans="1:5" x14ac:dyDescent="0.25">
      <c r="A359" s="10">
        <v>44407</v>
      </c>
      <c r="B359">
        <v>304887</v>
      </c>
      <c r="C359" t="s">
        <v>128</v>
      </c>
      <c r="D359" t="s">
        <v>427</v>
      </c>
      <c r="E359">
        <v>162</v>
      </c>
    </row>
    <row r="360" spans="1:5" x14ac:dyDescent="0.25">
      <c r="A360" s="10">
        <v>44407</v>
      </c>
      <c r="B360">
        <v>304887</v>
      </c>
      <c r="C360" t="s">
        <v>209</v>
      </c>
      <c r="D360" t="s">
        <v>428</v>
      </c>
      <c r="E360">
        <v>164</v>
      </c>
    </row>
    <row r="361" spans="1:5" x14ac:dyDescent="0.25">
      <c r="A361" s="10">
        <v>44407</v>
      </c>
      <c r="B361">
        <v>304887</v>
      </c>
      <c r="C361">
        <v>325140</v>
      </c>
      <c r="D361" t="s">
        <v>429</v>
      </c>
      <c r="E361">
        <v>117</v>
      </c>
    </row>
    <row r="362" spans="1:5" x14ac:dyDescent="0.25">
      <c r="A362" s="10">
        <v>44407</v>
      </c>
      <c r="B362">
        <v>304887</v>
      </c>
      <c r="C362">
        <v>325140</v>
      </c>
      <c r="D362" t="s">
        <v>430</v>
      </c>
      <c r="E362">
        <v>117</v>
      </c>
    </row>
    <row r="363" spans="1:5" x14ac:dyDescent="0.25">
      <c r="A363" s="10">
        <v>44407</v>
      </c>
      <c r="B363">
        <v>304887</v>
      </c>
      <c r="C363">
        <v>325140</v>
      </c>
      <c r="D363" t="s">
        <v>431</v>
      </c>
      <c r="E363">
        <v>117</v>
      </c>
    </row>
    <row r="364" spans="1:5" x14ac:dyDescent="0.25">
      <c r="A364" s="10">
        <v>44407</v>
      </c>
      <c r="B364">
        <v>304881</v>
      </c>
      <c r="C364">
        <v>421770</v>
      </c>
      <c r="D364" t="s">
        <v>432</v>
      </c>
      <c r="E364">
        <v>121</v>
      </c>
    </row>
    <row r="365" spans="1:5" x14ac:dyDescent="0.25">
      <c r="A365" s="10">
        <v>44407</v>
      </c>
      <c r="B365">
        <v>304881</v>
      </c>
      <c r="C365">
        <v>424959</v>
      </c>
      <c r="D365" t="s">
        <v>433</v>
      </c>
      <c r="E365">
        <v>125</v>
      </c>
    </row>
    <row r="366" spans="1:5" x14ac:dyDescent="0.25">
      <c r="A366" s="10">
        <v>44407</v>
      </c>
      <c r="B366">
        <v>304887</v>
      </c>
      <c r="C366">
        <v>417342</v>
      </c>
      <c r="D366" t="s">
        <v>434</v>
      </c>
      <c r="E366">
        <v>129</v>
      </c>
    </row>
    <row r="367" spans="1:5" x14ac:dyDescent="0.25">
      <c r="A367" s="10">
        <v>44407</v>
      </c>
      <c r="B367">
        <v>304882</v>
      </c>
      <c r="C367">
        <v>316421</v>
      </c>
      <c r="D367" t="s">
        <v>435</v>
      </c>
      <c r="E367">
        <v>133</v>
      </c>
    </row>
    <row r="368" spans="1:5" x14ac:dyDescent="0.25">
      <c r="A368" s="10">
        <v>44407</v>
      </c>
      <c r="B368">
        <v>304881</v>
      </c>
      <c r="C368">
        <v>404394</v>
      </c>
      <c r="D368" t="s">
        <v>436</v>
      </c>
      <c r="E368">
        <v>137</v>
      </c>
    </row>
    <row r="369" spans="1:5" x14ac:dyDescent="0.25">
      <c r="A369" s="10">
        <v>44407</v>
      </c>
      <c r="B369">
        <v>304887</v>
      </c>
      <c r="C369">
        <v>409256</v>
      </c>
      <c r="D369" t="s">
        <v>437</v>
      </c>
      <c r="E369">
        <v>141</v>
      </c>
    </row>
    <row r="370" spans="1:5" x14ac:dyDescent="0.25">
      <c r="A370" s="10">
        <v>44407</v>
      </c>
      <c r="B370">
        <v>304882</v>
      </c>
      <c r="C370">
        <v>400398</v>
      </c>
      <c r="D370" t="s">
        <v>438</v>
      </c>
      <c r="E370">
        <v>145</v>
      </c>
    </row>
    <row r="371" spans="1:5" x14ac:dyDescent="0.25">
      <c r="A371" s="10">
        <v>44407</v>
      </c>
      <c r="B371">
        <v>304887</v>
      </c>
      <c r="C371">
        <v>404439</v>
      </c>
      <c r="D371" t="s">
        <v>439</v>
      </c>
      <c r="E371">
        <v>149</v>
      </c>
    </row>
    <row r="372" spans="1:5" x14ac:dyDescent="0.25">
      <c r="A372" s="10">
        <v>44407</v>
      </c>
      <c r="B372">
        <v>304887</v>
      </c>
      <c r="C372">
        <v>417490</v>
      </c>
      <c r="D372" t="s">
        <v>440</v>
      </c>
      <c r="E372">
        <v>153</v>
      </c>
    </row>
    <row r="373" spans="1:5" x14ac:dyDescent="0.25">
      <c r="A373" s="10">
        <v>44407</v>
      </c>
      <c r="B373">
        <v>304887</v>
      </c>
      <c r="C373">
        <v>87502</v>
      </c>
      <c r="D373" t="s">
        <v>441</v>
      </c>
      <c r="E373">
        <v>157</v>
      </c>
    </row>
    <row r="374" spans="1:5" x14ac:dyDescent="0.25">
      <c r="A374" s="10">
        <v>44407</v>
      </c>
      <c r="B374">
        <v>304887</v>
      </c>
      <c r="C374">
        <v>431085</v>
      </c>
      <c r="D374" t="s">
        <v>442</v>
      </c>
      <c r="E374">
        <v>161</v>
      </c>
    </row>
    <row r="375" spans="1:5" x14ac:dyDescent="0.25">
      <c r="A375" s="10">
        <v>44407</v>
      </c>
      <c r="B375">
        <v>304882</v>
      </c>
      <c r="C375">
        <v>320300</v>
      </c>
      <c r="D375" t="s">
        <v>443</v>
      </c>
      <c r="E375">
        <v>165</v>
      </c>
    </row>
    <row r="376" spans="1:5" x14ac:dyDescent="0.25">
      <c r="A376" s="10">
        <v>44407</v>
      </c>
      <c r="B376">
        <v>304882</v>
      </c>
      <c r="C376" t="s">
        <v>111</v>
      </c>
      <c r="D376" t="s">
        <v>444</v>
      </c>
      <c r="E376">
        <v>169</v>
      </c>
    </row>
    <row r="377" spans="1:5" x14ac:dyDescent="0.25">
      <c r="A377" s="10">
        <v>44407</v>
      </c>
      <c r="B377">
        <v>304914</v>
      </c>
      <c r="C377">
        <v>425044</v>
      </c>
      <c r="D377" t="s">
        <v>445</v>
      </c>
      <c r="E377">
        <v>224</v>
      </c>
    </row>
    <row r="378" spans="1:5" x14ac:dyDescent="0.25">
      <c r="A378" s="10">
        <v>44407</v>
      </c>
      <c r="B378">
        <v>304914</v>
      </c>
      <c r="C378">
        <v>425045</v>
      </c>
      <c r="D378" t="s">
        <v>446</v>
      </c>
      <c r="E378">
        <v>228</v>
      </c>
    </row>
    <row r="379" spans="1:5" x14ac:dyDescent="0.25">
      <c r="A379" s="10">
        <v>44407</v>
      </c>
      <c r="B379">
        <v>304914</v>
      </c>
      <c r="C379" t="s">
        <v>92</v>
      </c>
      <c r="D379" t="s">
        <v>447</v>
      </c>
      <c r="E379">
        <v>232</v>
      </c>
    </row>
    <row r="380" spans="1:5" x14ac:dyDescent="0.25">
      <c r="A380" s="10">
        <v>44407</v>
      </c>
      <c r="B380">
        <v>304914</v>
      </c>
      <c r="C380">
        <v>421733</v>
      </c>
      <c r="D380" t="s">
        <v>448</v>
      </c>
      <c r="E380">
        <v>236</v>
      </c>
    </row>
    <row r="381" spans="1:5" x14ac:dyDescent="0.25">
      <c r="A381" s="10">
        <v>44407</v>
      </c>
      <c r="B381">
        <v>304914</v>
      </c>
      <c r="C381">
        <v>421730</v>
      </c>
      <c r="D381" t="s">
        <v>449</v>
      </c>
      <c r="E381">
        <v>240</v>
      </c>
    </row>
    <row r="382" spans="1:5" x14ac:dyDescent="0.25">
      <c r="A382" s="10">
        <v>44407</v>
      </c>
      <c r="B382">
        <v>304914</v>
      </c>
      <c r="C382">
        <v>425046</v>
      </c>
      <c r="D382" t="s">
        <v>450</v>
      </c>
      <c r="E382">
        <v>244</v>
      </c>
    </row>
    <row r="383" spans="1:5" x14ac:dyDescent="0.25">
      <c r="A383" s="10">
        <v>44407</v>
      </c>
      <c r="B383">
        <v>304914</v>
      </c>
      <c r="C383">
        <v>439935</v>
      </c>
      <c r="D383" t="s">
        <v>451</v>
      </c>
      <c r="E383">
        <v>248</v>
      </c>
    </row>
    <row r="384" spans="1:5" x14ac:dyDescent="0.25">
      <c r="A384" s="10">
        <v>44407</v>
      </c>
      <c r="B384">
        <v>304914</v>
      </c>
      <c r="C384" t="s">
        <v>93</v>
      </c>
      <c r="D384" t="s">
        <v>452</v>
      </c>
      <c r="E384">
        <v>252</v>
      </c>
    </row>
    <row r="385" spans="1:5" x14ac:dyDescent="0.25">
      <c r="A385" s="10">
        <v>44407</v>
      </c>
      <c r="B385">
        <v>304885</v>
      </c>
      <c r="C385" t="s">
        <v>142</v>
      </c>
      <c r="D385" t="s">
        <v>453</v>
      </c>
      <c r="E385">
        <v>256</v>
      </c>
    </row>
    <row r="386" spans="1:5" x14ac:dyDescent="0.25">
      <c r="A386" s="10">
        <v>44407</v>
      </c>
      <c r="B386">
        <v>304914</v>
      </c>
      <c r="C386" t="s">
        <v>94</v>
      </c>
      <c r="D386" t="s">
        <v>454</v>
      </c>
      <c r="E386">
        <v>260</v>
      </c>
    </row>
    <row r="387" spans="1:5" x14ac:dyDescent="0.25">
      <c r="A387" s="10">
        <v>44407</v>
      </c>
      <c r="B387">
        <v>304914</v>
      </c>
      <c r="C387">
        <v>262262</v>
      </c>
      <c r="D387" t="s">
        <v>455</v>
      </c>
      <c r="E387">
        <v>262</v>
      </c>
    </row>
    <row r="388" spans="1:5" x14ac:dyDescent="0.25">
      <c r="A388" s="10">
        <v>44407</v>
      </c>
      <c r="B388">
        <v>304914</v>
      </c>
      <c r="C388" t="s">
        <v>130</v>
      </c>
      <c r="D388" t="s">
        <v>456</v>
      </c>
      <c r="E388">
        <v>264</v>
      </c>
    </row>
    <row r="389" spans="1:5" x14ac:dyDescent="0.25">
      <c r="A389" s="10">
        <v>44407</v>
      </c>
      <c r="B389">
        <v>304914</v>
      </c>
      <c r="C389" t="s">
        <v>144</v>
      </c>
      <c r="D389" t="s">
        <v>457</v>
      </c>
      <c r="E389">
        <v>266</v>
      </c>
    </row>
    <row r="390" spans="1:5" x14ac:dyDescent="0.25">
      <c r="A390" s="10">
        <v>44407</v>
      </c>
      <c r="B390">
        <v>304884</v>
      </c>
      <c r="C390">
        <v>99450</v>
      </c>
      <c r="D390" t="s">
        <v>458</v>
      </c>
      <c r="E390">
        <v>221</v>
      </c>
    </row>
    <row r="391" spans="1:5" x14ac:dyDescent="0.25">
      <c r="A391" s="10">
        <v>44407</v>
      </c>
      <c r="B391">
        <v>304884</v>
      </c>
      <c r="C391">
        <v>403441</v>
      </c>
      <c r="D391" t="s">
        <v>459</v>
      </c>
      <c r="E391">
        <v>225</v>
      </c>
    </row>
    <row r="392" spans="1:5" x14ac:dyDescent="0.25">
      <c r="A392" s="10">
        <v>44407</v>
      </c>
      <c r="B392">
        <v>304884</v>
      </c>
      <c r="C392" t="s">
        <v>210</v>
      </c>
      <c r="D392" t="s">
        <v>460</v>
      </c>
      <c r="E392">
        <v>229</v>
      </c>
    </row>
    <row r="393" spans="1:5" x14ac:dyDescent="0.25">
      <c r="A393" s="10">
        <v>44407</v>
      </c>
      <c r="B393">
        <v>304988</v>
      </c>
      <c r="C393" t="s">
        <v>199</v>
      </c>
      <c r="D393" t="s">
        <v>461</v>
      </c>
      <c r="E393">
        <v>233</v>
      </c>
    </row>
    <row r="394" spans="1:5" x14ac:dyDescent="0.25">
      <c r="A394" s="10">
        <v>44407</v>
      </c>
      <c r="B394">
        <v>304988</v>
      </c>
      <c r="C394">
        <v>85227</v>
      </c>
      <c r="D394" t="s">
        <v>462</v>
      </c>
      <c r="E394">
        <v>237</v>
      </c>
    </row>
    <row r="395" spans="1:5" x14ac:dyDescent="0.25">
      <c r="A395" s="10">
        <v>44407</v>
      </c>
      <c r="B395">
        <v>304884</v>
      </c>
      <c r="C395">
        <v>423185</v>
      </c>
      <c r="D395" t="s">
        <v>463</v>
      </c>
      <c r="E395">
        <v>241</v>
      </c>
    </row>
    <row r="396" spans="1:5" x14ac:dyDescent="0.25">
      <c r="A396" s="10">
        <v>44407</v>
      </c>
      <c r="B396">
        <v>304882</v>
      </c>
      <c r="C396">
        <v>316420</v>
      </c>
      <c r="D396" t="s">
        <v>464</v>
      </c>
      <c r="E396">
        <v>245</v>
      </c>
    </row>
    <row r="397" spans="1:5" x14ac:dyDescent="0.25">
      <c r="A397" s="10">
        <v>44407</v>
      </c>
      <c r="B397">
        <v>304884</v>
      </c>
      <c r="C397">
        <v>314246</v>
      </c>
      <c r="D397" t="s">
        <v>465</v>
      </c>
      <c r="E397">
        <v>249</v>
      </c>
    </row>
    <row r="398" spans="1:5" x14ac:dyDescent="0.25">
      <c r="A398" s="10">
        <v>44407</v>
      </c>
      <c r="B398">
        <v>304884</v>
      </c>
      <c r="C398">
        <v>75182</v>
      </c>
      <c r="D398" t="s">
        <v>466</v>
      </c>
      <c r="E398">
        <v>253</v>
      </c>
    </row>
    <row r="399" spans="1:5" x14ac:dyDescent="0.25">
      <c r="A399" s="10">
        <v>44407</v>
      </c>
      <c r="B399">
        <v>304884</v>
      </c>
      <c r="C399">
        <v>412800</v>
      </c>
      <c r="D399" t="s">
        <v>467</v>
      </c>
      <c r="E399">
        <v>257</v>
      </c>
    </row>
    <row r="400" spans="1:5" x14ac:dyDescent="0.25">
      <c r="A400" s="10">
        <v>44407</v>
      </c>
      <c r="B400">
        <v>304884</v>
      </c>
      <c r="C400">
        <v>328267</v>
      </c>
      <c r="D400" t="s">
        <v>468</v>
      </c>
      <c r="E400">
        <v>261</v>
      </c>
    </row>
    <row r="401" spans="1:5" x14ac:dyDescent="0.25">
      <c r="A401" s="10">
        <v>44407</v>
      </c>
      <c r="B401">
        <v>304882</v>
      </c>
      <c r="C401">
        <v>72736</v>
      </c>
      <c r="D401" t="s">
        <v>469</v>
      </c>
      <c r="E401">
        <v>265</v>
      </c>
    </row>
    <row r="402" spans="1:5" x14ac:dyDescent="0.25">
      <c r="A402" s="10">
        <v>44407</v>
      </c>
      <c r="B402">
        <v>304883</v>
      </c>
      <c r="C402">
        <v>404328</v>
      </c>
      <c r="D402" t="s">
        <v>470</v>
      </c>
      <c r="E402">
        <v>324</v>
      </c>
    </row>
    <row r="403" spans="1:5" x14ac:dyDescent="0.25">
      <c r="A403" s="10">
        <v>44407</v>
      </c>
      <c r="B403">
        <v>304885</v>
      </c>
      <c r="C403" t="s">
        <v>118</v>
      </c>
      <c r="D403" t="s">
        <v>471</v>
      </c>
      <c r="E403">
        <v>328</v>
      </c>
    </row>
    <row r="404" spans="1:5" x14ac:dyDescent="0.25">
      <c r="A404" s="10">
        <v>44407</v>
      </c>
      <c r="B404">
        <v>304883</v>
      </c>
      <c r="C404">
        <v>332332</v>
      </c>
      <c r="D404" t="s">
        <v>472</v>
      </c>
      <c r="E404">
        <v>332</v>
      </c>
    </row>
    <row r="405" spans="1:5" x14ac:dyDescent="0.25">
      <c r="A405" s="10">
        <v>44407</v>
      </c>
      <c r="B405">
        <v>304885</v>
      </c>
      <c r="C405" t="s">
        <v>211</v>
      </c>
      <c r="D405" t="s">
        <v>473</v>
      </c>
      <c r="E405">
        <v>336</v>
      </c>
    </row>
    <row r="406" spans="1:5" x14ac:dyDescent="0.25">
      <c r="A406" s="10">
        <v>44407</v>
      </c>
      <c r="B406">
        <v>304886</v>
      </c>
      <c r="C406">
        <v>405337</v>
      </c>
      <c r="D406" t="s">
        <v>474</v>
      </c>
      <c r="E406">
        <v>340</v>
      </c>
    </row>
    <row r="407" spans="1:5" x14ac:dyDescent="0.25">
      <c r="A407" s="10">
        <v>44407</v>
      </c>
      <c r="B407">
        <v>304881</v>
      </c>
      <c r="C407">
        <v>461887</v>
      </c>
      <c r="D407" t="s">
        <v>475</v>
      </c>
      <c r="E407">
        <v>344</v>
      </c>
    </row>
    <row r="408" spans="1:5" x14ac:dyDescent="0.25">
      <c r="A408" s="10">
        <v>44407</v>
      </c>
      <c r="B408">
        <v>304881</v>
      </c>
      <c r="C408">
        <v>415600</v>
      </c>
      <c r="D408" t="s">
        <v>476</v>
      </c>
      <c r="E408">
        <v>348</v>
      </c>
    </row>
    <row r="409" spans="1:5" x14ac:dyDescent="0.25">
      <c r="A409" s="10">
        <v>44407</v>
      </c>
      <c r="B409">
        <v>304881</v>
      </c>
      <c r="C409">
        <v>461885</v>
      </c>
      <c r="D409" t="s">
        <v>477</v>
      </c>
      <c r="E409">
        <v>352</v>
      </c>
    </row>
    <row r="410" spans="1:5" x14ac:dyDescent="0.25">
      <c r="A410" s="10">
        <v>44407</v>
      </c>
      <c r="B410">
        <v>304881</v>
      </c>
      <c r="C410">
        <v>434749</v>
      </c>
      <c r="D410" t="s">
        <v>478</v>
      </c>
      <c r="E410">
        <v>356</v>
      </c>
    </row>
    <row r="411" spans="1:5" x14ac:dyDescent="0.25">
      <c r="A411" s="10">
        <v>44407</v>
      </c>
      <c r="B411">
        <v>304881</v>
      </c>
      <c r="C411" t="s">
        <v>96</v>
      </c>
      <c r="D411" t="s">
        <v>479</v>
      </c>
      <c r="E411">
        <v>362</v>
      </c>
    </row>
    <row r="412" spans="1:5" x14ac:dyDescent="0.25">
      <c r="A412" s="10">
        <v>44407</v>
      </c>
      <c r="B412">
        <v>304881</v>
      </c>
      <c r="C412" t="s">
        <v>112</v>
      </c>
      <c r="D412" t="s">
        <v>480</v>
      </c>
      <c r="E412">
        <v>366</v>
      </c>
    </row>
    <row r="413" spans="1:5" x14ac:dyDescent="0.25">
      <c r="A413" s="10">
        <v>44407</v>
      </c>
      <c r="B413">
        <v>304881</v>
      </c>
      <c r="C413" t="s">
        <v>97</v>
      </c>
      <c r="D413" t="s">
        <v>481</v>
      </c>
      <c r="E413">
        <v>368</v>
      </c>
    </row>
    <row r="414" spans="1:5" x14ac:dyDescent="0.25">
      <c r="A414" s="10">
        <v>44407</v>
      </c>
      <c r="B414">
        <v>304885</v>
      </c>
      <c r="C414" t="s">
        <v>166</v>
      </c>
      <c r="D414" t="s">
        <v>482</v>
      </c>
      <c r="E414">
        <v>370</v>
      </c>
    </row>
    <row r="415" spans="1:5" x14ac:dyDescent="0.25">
      <c r="A415" s="10">
        <v>44407</v>
      </c>
      <c r="B415">
        <v>304882</v>
      </c>
      <c r="C415" t="s">
        <v>98</v>
      </c>
      <c r="D415" t="s">
        <v>483</v>
      </c>
      <c r="E415">
        <v>376</v>
      </c>
    </row>
    <row r="416" spans="1:5" x14ac:dyDescent="0.25">
      <c r="A416" s="10">
        <v>44407</v>
      </c>
      <c r="B416">
        <v>304883</v>
      </c>
      <c r="C416">
        <v>432597</v>
      </c>
      <c r="D416" t="s">
        <v>484</v>
      </c>
      <c r="E416">
        <v>321</v>
      </c>
    </row>
    <row r="417" spans="1:5" x14ac:dyDescent="0.25">
      <c r="A417" s="10">
        <v>44407</v>
      </c>
      <c r="B417">
        <v>304883</v>
      </c>
      <c r="C417" t="s">
        <v>99</v>
      </c>
      <c r="D417" t="s">
        <v>485</v>
      </c>
      <c r="E417">
        <v>325</v>
      </c>
    </row>
    <row r="418" spans="1:5" x14ac:dyDescent="0.25">
      <c r="A418" s="10">
        <v>44407</v>
      </c>
      <c r="B418">
        <v>304883</v>
      </c>
      <c r="C418" t="s">
        <v>212</v>
      </c>
      <c r="D418" t="s">
        <v>486</v>
      </c>
      <c r="E418">
        <v>329</v>
      </c>
    </row>
    <row r="419" spans="1:5" x14ac:dyDescent="0.25">
      <c r="A419" s="10">
        <v>44407</v>
      </c>
      <c r="B419">
        <v>304883</v>
      </c>
      <c r="C419">
        <v>99443</v>
      </c>
      <c r="D419" t="s">
        <v>487</v>
      </c>
      <c r="E419">
        <v>333</v>
      </c>
    </row>
    <row r="420" spans="1:5" x14ac:dyDescent="0.25">
      <c r="A420" s="10">
        <v>44407</v>
      </c>
      <c r="B420">
        <v>304883</v>
      </c>
      <c r="C420">
        <v>432598</v>
      </c>
      <c r="D420" t="s">
        <v>488</v>
      </c>
      <c r="E420">
        <v>337</v>
      </c>
    </row>
    <row r="421" spans="1:5" x14ac:dyDescent="0.25">
      <c r="A421" s="10">
        <v>44407</v>
      </c>
      <c r="B421">
        <v>304883</v>
      </c>
      <c r="C421">
        <v>310821</v>
      </c>
      <c r="D421" t="s">
        <v>489</v>
      </c>
      <c r="E421">
        <v>341</v>
      </c>
    </row>
    <row r="422" spans="1:5" x14ac:dyDescent="0.25">
      <c r="A422" s="10">
        <v>44407</v>
      </c>
      <c r="B422">
        <v>304885</v>
      </c>
      <c r="C422">
        <v>87376</v>
      </c>
      <c r="D422" t="s">
        <v>490</v>
      </c>
      <c r="E422">
        <v>345</v>
      </c>
    </row>
    <row r="423" spans="1:5" x14ac:dyDescent="0.25">
      <c r="A423" s="10">
        <v>44407</v>
      </c>
      <c r="B423">
        <v>304885</v>
      </c>
      <c r="C423">
        <v>414479</v>
      </c>
      <c r="D423" t="s">
        <v>491</v>
      </c>
      <c r="E423">
        <v>349</v>
      </c>
    </row>
    <row r="424" spans="1:5" x14ac:dyDescent="0.25">
      <c r="A424" s="10">
        <v>44407</v>
      </c>
      <c r="B424">
        <v>304885</v>
      </c>
      <c r="C424">
        <v>402666</v>
      </c>
      <c r="D424" t="s">
        <v>492</v>
      </c>
      <c r="E424">
        <v>353</v>
      </c>
    </row>
    <row r="425" spans="1:5" x14ac:dyDescent="0.25">
      <c r="A425" s="10">
        <v>44407</v>
      </c>
      <c r="B425">
        <v>304885</v>
      </c>
      <c r="C425">
        <v>320665</v>
      </c>
      <c r="D425" t="s">
        <v>493</v>
      </c>
      <c r="E425">
        <v>357</v>
      </c>
    </row>
    <row r="426" spans="1:5" x14ac:dyDescent="0.25">
      <c r="A426" s="10">
        <v>44407</v>
      </c>
      <c r="B426">
        <v>304881</v>
      </c>
      <c r="C426">
        <v>461886</v>
      </c>
      <c r="D426" t="s">
        <v>494</v>
      </c>
      <c r="E426">
        <v>361</v>
      </c>
    </row>
    <row r="427" spans="1:5" x14ac:dyDescent="0.25">
      <c r="A427" s="10">
        <v>44407</v>
      </c>
      <c r="B427">
        <v>304881</v>
      </c>
      <c r="C427">
        <v>320763</v>
      </c>
      <c r="D427" t="s">
        <v>495</v>
      </c>
      <c r="E427">
        <v>365</v>
      </c>
    </row>
    <row r="428" spans="1:5" x14ac:dyDescent="0.25">
      <c r="A428" s="10">
        <v>44407</v>
      </c>
      <c r="B428">
        <v>304881</v>
      </c>
      <c r="C428" t="s">
        <v>213</v>
      </c>
      <c r="D428" t="s">
        <v>496</v>
      </c>
      <c r="E428">
        <v>369</v>
      </c>
    </row>
    <row r="429" spans="1:5" x14ac:dyDescent="0.25">
      <c r="A429" s="10">
        <v>44407</v>
      </c>
      <c r="B429">
        <v>304887</v>
      </c>
      <c r="C429" t="s">
        <v>214</v>
      </c>
      <c r="D429" t="s">
        <v>497</v>
      </c>
      <c r="E429">
        <v>420</v>
      </c>
    </row>
    <row r="430" spans="1:5" x14ac:dyDescent="0.25">
      <c r="A430" s="10">
        <v>44407</v>
      </c>
      <c r="B430">
        <v>304883</v>
      </c>
      <c r="C430" t="s">
        <v>153</v>
      </c>
      <c r="D430" t="s">
        <v>498</v>
      </c>
      <c r="E430">
        <v>436</v>
      </c>
    </row>
    <row r="431" spans="1:5" x14ac:dyDescent="0.25">
      <c r="A431" s="10">
        <v>44407</v>
      </c>
      <c r="B431">
        <v>304988</v>
      </c>
      <c r="C431">
        <v>440440</v>
      </c>
      <c r="D431" t="s">
        <v>499</v>
      </c>
      <c r="E431">
        <v>440</v>
      </c>
    </row>
    <row r="432" spans="1:5" x14ac:dyDescent="0.25">
      <c r="A432" s="10">
        <v>44407</v>
      </c>
      <c r="B432">
        <v>304887</v>
      </c>
      <c r="C432" t="s">
        <v>114</v>
      </c>
      <c r="D432" t="s">
        <v>500</v>
      </c>
      <c r="E432">
        <v>468</v>
      </c>
    </row>
    <row r="433" spans="1:5" x14ac:dyDescent="0.25">
      <c r="A433" s="10">
        <v>44407</v>
      </c>
      <c r="B433">
        <v>304887</v>
      </c>
      <c r="C433" t="s">
        <v>215</v>
      </c>
      <c r="D433" t="s">
        <v>501</v>
      </c>
      <c r="E433">
        <v>470</v>
      </c>
    </row>
    <row r="434" spans="1:5" x14ac:dyDescent="0.25">
      <c r="A434" s="10">
        <v>44407</v>
      </c>
      <c r="B434">
        <v>304882</v>
      </c>
      <c r="C434" t="s">
        <v>137</v>
      </c>
      <c r="D434" t="s">
        <v>502</v>
      </c>
      <c r="E434">
        <v>472</v>
      </c>
    </row>
    <row r="435" spans="1:5" x14ac:dyDescent="0.25">
      <c r="A435" s="10">
        <v>44407</v>
      </c>
      <c r="B435">
        <v>304887</v>
      </c>
      <c r="C435" t="s">
        <v>216</v>
      </c>
      <c r="D435" t="s">
        <v>503</v>
      </c>
      <c r="E435">
        <v>476</v>
      </c>
    </row>
    <row r="436" spans="1:5" x14ac:dyDescent="0.25">
      <c r="A436" s="10">
        <v>44407</v>
      </c>
      <c r="B436">
        <v>304884</v>
      </c>
      <c r="C436">
        <v>305177</v>
      </c>
      <c r="D436" t="s">
        <v>504</v>
      </c>
      <c r="E436">
        <v>419</v>
      </c>
    </row>
    <row r="437" spans="1:5" x14ac:dyDescent="0.25">
      <c r="A437" s="10">
        <v>44407</v>
      </c>
      <c r="B437">
        <v>304886</v>
      </c>
      <c r="C437">
        <v>14958</v>
      </c>
      <c r="D437" t="s">
        <v>505</v>
      </c>
      <c r="E437">
        <v>421</v>
      </c>
    </row>
    <row r="438" spans="1:5" x14ac:dyDescent="0.25">
      <c r="A438" s="10">
        <v>44407</v>
      </c>
      <c r="B438">
        <v>304881</v>
      </c>
      <c r="C438" t="s">
        <v>115</v>
      </c>
      <c r="D438" t="s">
        <v>506</v>
      </c>
      <c r="E438">
        <v>423</v>
      </c>
    </row>
    <row r="439" spans="1:5" x14ac:dyDescent="0.25">
      <c r="A439" s="10">
        <v>44407</v>
      </c>
      <c r="B439">
        <v>304883</v>
      </c>
      <c r="C439" t="s">
        <v>100</v>
      </c>
      <c r="D439" t="s">
        <v>507</v>
      </c>
      <c r="E439">
        <v>425</v>
      </c>
    </row>
    <row r="440" spans="1:5" x14ac:dyDescent="0.25">
      <c r="A440" s="10">
        <v>44407</v>
      </c>
      <c r="B440">
        <v>304882</v>
      </c>
      <c r="C440" t="s">
        <v>134</v>
      </c>
      <c r="D440" t="s">
        <v>508</v>
      </c>
      <c r="E440">
        <v>465</v>
      </c>
    </row>
    <row r="441" spans="1:5" x14ac:dyDescent="0.25">
      <c r="A441" s="10">
        <v>44407</v>
      </c>
      <c r="B441">
        <v>304884</v>
      </c>
      <c r="C441" t="s">
        <v>101</v>
      </c>
      <c r="D441" t="s">
        <v>509</v>
      </c>
      <c r="E441">
        <v>520</v>
      </c>
    </row>
    <row r="442" spans="1:5" x14ac:dyDescent="0.25">
      <c r="A442" s="10">
        <v>44407</v>
      </c>
      <c r="B442">
        <v>304884</v>
      </c>
      <c r="C442" t="s">
        <v>102</v>
      </c>
      <c r="D442" t="s">
        <v>510</v>
      </c>
      <c r="E442">
        <v>522</v>
      </c>
    </row>
    <row r="443" spans="1:5" x14ac:dyDescent="0.25">
      <c r="A443" s="10">
        <v>44407</v>
      </c>
      <c r="B443">
        <v>304884</v>
      </c>
      <c r="C443">
        <v>524524</v>
      </c>
      <c r="D443" t="s">
        <v>511</v>
      </c>
      <c r="E443">
        <v>524</v>
      </c>
    </row>
    <row r="444" spans="1:5" x14ac:dyDescent="0.25">
      <c r="A444" s="10">
        <v>44407</v>
      </c>
      <c r="B444">
        <v>304884</v>
      </c>
      <c r="C444" t="s">
        <v>136</v>
      </c>
      <c r="D444" t="s">
        <v>512</v>
      </c>
      <c r="E444">
        <v>526</v>
      </c>
    </row>
    <row r="445" spans="1:5" x14ac:dyDescent="0.25">
      <c r="A445" s="10">
        <v>44407</v>
      </c>
      <c r="B445">
        <v>304885</v>
      </c>
      <c r="C445" t="s">
        <v>217</v>
      </c>
      <c r="D445" t="s">
        <v>513</v>
      </c>
      <c r="E445">
        <v>530</v>
      </c>
    </row>
    <row r="446" spans="1:5" x14ac:dyDescent="0.25">
      <c r="A446" s="10">
        <v>44407</v>
      </c>
      <c r="B446">
        <v>304881</v>
      </c>
      <c r="C446" t="s">
        <v>104</v>
      </c>
      <c r="D446" t="s">
        <v>514</v>
      </c>
      <c r="E446">
        <v>532</v>
      </c>
    </row>
    <row r="447" spans="1:5" x14ac:dyDescent="0.25">
      <c r="A447" s="10">
        <v>44407</v>
      </c>
      <c r="B447">
        <v>304881</v>
      </c>
      <c r="C447" t="s">
        <v>218</v>
      </c>
      <c r="D447" t="s">
        <v>515</v>
      </c>
      <c r="E447">
        <v>538</v>
      </c>
    </row>
    <row r="448" spans="1:5" x14ac:dyDescent="0.25">
      <c r="A448" s="10">
        <v>44407</v>
      </c>
      <c r="B448">
        <v>304886</v>
      </c>
      <c r="C448" t="s">
        <v>106</v>
      </c>
      <c r="D448" t="s">
        <v>516</v>
      </c>
      <c r="E448">
        <v>616</v>
      </c>
    </row>
    <row r="449" spans="1:5" x14ac:dyDescent="0.25">
      <c r="A449" s="10">
        <v>44407</v>
      </c>
      <c r="B449">
        <v>304914</v>
      </c>
      <c r="C449" t="s">
        <v>206</v>
      </c>
      <c r="D449" t="s">
        <v>517</v>
      </c>
      <c r="E449">
        <v>638</v>
      </c>
    </row>
    <row r="450" spans="1:5" x14ac:dyDescent="0.25">
      <c r="A450" s="10">
        <v>44407</v>
      </c>
      <c r="B450">
        <v>304914</v>
      </c>
      <c r="C450" t="s">
        <v>207</v>
      </c>
      <c r="D450" t="s">
        <v>518</v>
      </c>
      <c r="E450">
        <v>640</v>
      </c>
    </row>
    <row r="451" spans="1:5" x14ac:dyDescent="0.25">
      <c r="A451" s="10">
        <v>44407</v>
      </c>
      <c r="B451">
        <v>304885</v>
      </c>
      <c r="C451" t="s">
        <v>219</v>
      </c>
      <c r="D451" t="s">
        <v>519</v>
      </c>
      <c r="E451">
        <v>642</v>
      </c>
    </row>
    <row r="452" spans="1:5" x14ac:dyDescent="0.25">
      <c r="A452" s="10">
        <v>44407</v>
      </c>
      <c r="B452">
        <v>304886</v>
      </c>
      <c r="C452" t="s">
        <v>177</v>
      </c>
      <c r="D452" t="s">
        <v>520</v>
      </c>
      <c r="E452">
        <v>654</v>
      </c>
    </row>
    <row r="453" spans="1:5" x14ac:dyDescent="0.25">
      <c r="A453" s="10">
        <v>44407</v>
      </c>
      <c r="B453">
        <v>304886</v>
      </c>
      <c r="C453" t="s">
        <v>185</v>
      </c>
      <c r="D453" t="s">
        <v>521</v>
      </c>
      <c r="E453">
        <v>656</v>
      </c>
    </row>
    <row r="454" spans="1:5" x14ac:dyDescent="0.25">
      <c r="A454" s="10">
        <v>44407</v>
      </c>
      <c r="B454">
        <v>304886</v>
      </c>
      <c r="C454" t="s">
        <v>186</v>
      </c>
      <c r="D454" t="s">
        <v>522</v>
      </c>
      <c r="E454">
        <v>660</v>
      </c>
    </row>
    <row r="455" spans="1:5" x14ac:dyDescent="0.25">
      <c r="A455" s="10">
        <v>44407</v>
      </c>
      <c r="B455">
        <v>304886</v>
      </c>
      <c r="C455" t="s">
        <v>187</v>
      </c>
      <c r="D455" t="s">
        <v>523</v>
      </c>
      <c r="E455">
        <v>668</v>
      </c>
    </row>
    <row r="456" spans="1:5" x14ac:dyDescent="0.25">
      <c r="A456" s="10">
        <v>44407</v>
      </c>
      <c r="B456">
        <v>304886</v>
      </c>
      <c r="C456" t="s">
        <v>220</v>
      </c>
      <c r="D456" t="s">
        <v>524</v>
      </c>
      <c r="E456">
        <v>615</v>
      </c>
    </row>
    <row r="457" spans="1:5" x14ac:dyDescent="0.25">
      <c r="A457" s="10">
        <v>44407</v>
      </c>
      <c r="B457">
        <v>304914</v>
      </c>
      <c r="C457">
        <v>421736</v>
      </c>
      <c r="D457" t="s">
        <v>525</v>
      </c>
      <c r="E457">
        <v>617</v>
      </c>
    </row>
    <row r="458" spans="1:5" x14ac:dyDescent="0.25">
      <c r="A458" s="10">
        <v>44407</v>
      </c>
      <c r="B458">
        <v>304881</v>
      </c>
      <c r="C458" t="s">
        <v>221</v>
      </c>
      <c r="D458" t="s">
        <v>526</v>
      </c>
      <c r="E458">
        <v>655</v>
      </c>
    </row>
    <row r="459" spans="1:5" x14ac:dyDescent="0.25">
      <c r="A459" s="10">
        <v>44407</v>
      </c>
      <c r="B459">
        <v>304881</v>
      </c>
      <c r="C459">
        <v>699699</v>
      </c>
      <c r="D459" t="s">
        <v>527</v>
      </c>
      <c r="E459">
        <v>699</v>
      </c>
    </row>
    <row r="460" spans="1:5" x14ac:dyDescent="0.25">
      <c r="A460" s="10">
        <v>44410</v>
      </c>
      <c r="B460">
        <v>304988</v>
      </c>
      <c r="C460">
        <v>432600</v>
      </c>
      <c r="D460" t="s">
        <v>417</v>
      </c>
      <c r="E460">
        <v>124</v>
      </c>
    </row>
    <row r="461" spans="1:5" x14ac:dyDescent="0.25">
      <c r="A461" s="10">
        <v>44410</v>
      </c>
      <c r="B461">
        <v>304988</v>
      </c>
      <c r="C461">
        <v>432595</v>
      </c>
      <c r="D461" t="s">
        <v>418</v>
      </c>
      <c r="E461">
        <v>128</v>
      </c>
    </row>
    <row r="462" spans="1:5" x14ac:dyDescent="0.25">
      <c r="A462" s="10">
        <v>44410</v>
      </c>
      <c r="B462">
        <v>304886</v>
      </c>
      <c r="C462" t="s">
        <v>141</v>
      </c>
      <c r="D462" t="s">
        <v>419</v>
      </c>
      <c r="E462">
        <v>132</v>
      </c>
    </row>
    <row r="463" spans="1:5" x14ac:dyDescent="0.25">
      <c r="A463" s="10">
        <v>44410</v>
      </c>
      <c r="B463">
        <v>304988</v>
      </c>
      <c r="C463">
        <v>84334</v>
      </c>
      <c r="D463" t="s">
        <v>420</v>
      </c>
      <c r="E463">
        <v>136</v>
      </c>
    </row>
    <row r="464" spans="1:5" x14ac:dyDescent="0.25">
      <c r="A464" s="10">
        <v>44410</v>
      </c>
      <c r="B464">
        <v>304988</v>
      </c>
      <c r="C464" t="s">
        <v>197</v>
      </c>
      <c r="D464" t="s">
        <v>421</v>
      </c>
      <c r="E464">
        <v>140</v>
      </c>
    </row>
    <row r="465" spans="1:5" x14ac:dyDescent="0.25">
      <c r="A465" s="10">
        <v>44410</v>
      </c>
      <c r="B465">
        <v>304887</v>
      </c>
      <c r="C465" t="s">
        <v>163</v>
      </c>
      <c r="D465" t="s">
        <v>422</v>
      </c>
      <c r="E465">
        <v>144</v>
      </c>
    </row>
    <row r="466" spans="1:5" x14ac:dyDescent="0.25">
      <c r="A466" s="10">
        <v>44410</v>
      </c>
      <c r="B466">
        <v>304882</v>
      </c>
      <c r="C466" t="s">
        <v>224</v>
      </c>
      <c r="D466" t="s">
        <v>423</v>
      </c>
      <c r="E466">
        <v>148</v>
      </c>
    </row>
    <row r="467" spans="1:5" x14ac:dyDescent="0.25">
      <c r="A467" s="10">
        <v>44410</v>
      </c>
      <c r="B467">
        <v>304887</v>
      </c>
      <c r="C467">
        <v>411264</v>
      </c>
      <c r="D467" t="s">
        <v>424</v>
      </c>
      <c r="E467">
        <v>152</v>
      </c>
    </row>
    <row r="468" spans="1:5" x14ac:dyDescent="0.25">
      <c r="A468" s="10">
        <v>44410</v>
      </c>
      <c r="B468">
        <v>304887</v>
      </c>
      <c r="C468">
        <v>431154</v>
      </c>
      <c r="D468" t="s">
        <v>425</v>
      </c>
      <c r="E468">
        <v>160</v>
      </c>
    </row>
    <row r="469" spans="1:5" x14ac:dyDescent="0.25">
      <c r="A469" s="10">
        <v>44410</v>
      </c>
      <c r="B469">
        <v>304887</v>
      </c>
      <c r="C469" t="s">
        <v>128</v>
      </c>
      <c r="D469" t="s">
        <v>426</v>
      </c>
      <c r="E469">
        <v>162</v>
      </c>
    </row>
    <row r="470" spans="1:5" x14ac:dyDescent="0.25">
      <c r="A470" s="10">
        <v>44410</v>
      </c>
      <c r="B470">
        <v>304887</v>
      </c>
      <c r="C470" t="s">
        <v>90</v>
      </c>
      <c r="D470" t="s">
        <v>427</v>
      </c>
      <c r="E470">
        <v>164</v>
      </c>
    </row>
    <row r="471" spans="1:5" x14ac:dyDescent="0.25">
      <c r="A471" s="10">
        <v>44410</v>
      </c>
      <c r="B471">
        <v>304881</v>
      </c>
      <c r="C471" t="s">
        <v>225</v>
      </c>
      <c r="D471" t="s">
        <v>428</v>
      </c>
      <c r="E471">
        <v>121</v>
      </c>
    </row>
    <row r="472" spans="1:5" x14ac:dyDescent="0.25">
      <c r="A472" s="10">
        <v>44410</v>
      </c>
      <c r="B472">
        <v>304881</v>
      </c>
      <c r="C472">
        <v>424959</v>
      </c>
      <c r="D472" t="s">
        <v>429</v>
      </c>
      <c r="E472">
        <v>125</v>
      </c>
    </row>
    <row r="473" spans="1:5" x14ac:dyDescent="0.25">
      <c r="A473" s="10">
        <v>44410</v>
      </c>
      <c r="B473">
        <v>304887</v>
      </c>
      <c r="C473">
        <v>417342</v>
      </c>
      <c r="D473" t="s">
        <v>430</v>
      </c>
      <c r="E473">
        <v>129</v>
      </c>
    </row>
    <row r="474" spans="1:5" x14ac:dyDescent="0.25">
      <c r="A474" s="10">
        <v>44410</v>
      </c>
      <c r="B474">
        <v>304882</v>
      </c>
      <c r="C474">
        <v>316421</v>
      </c>
      <c r="D474" t="s">
        <v>431</v>
      </c>
      <c r="E474">
        <v>133</v>
      </c>
    </row>
    <row r="475" spans="1:5" x14ac:dyDescent="0.25">
      <c r="A475" s="10">
        <v>44410</v>
      </c>
      <c r="B475">
        <v>304881</v>
      </c>
      <c r="C475">
        <v>404394</v>
      </c>
      <c r="D475" t="s">
        <v>432</v>
      </c>
      <c r="E475">
        <v>137</v>
      </c>
    </row>
    <row r="476" spans="1:5" x14ac:dyDescent="0.25">
      <c r="A476" s="10">
        <v>44410</v>
      </c>
      <c r="B476">
        <v>304887</v>
      </c>
      <c r="C476">
        <v>409256</v>
      </c>
      <c r="D476" t="s">
        <v>433</v>
      </c>
      <c r="E476">
        <v>141</v>
      </c>
    </row>
    <row r="477" spans="1:5" x14ac:dyDescent="0.25">
      <c r="A477" s="10">
        <v>44410</v>
      </c>
      <c r="B477">
        <v>304882</v>
      </c>
      <c r="C477" t="s">
        <v>119</v>
      </c>
      <c r="D477" t="s">
        <v>434</v>
      </c>
      <c r="E477">
        <v>145</v>
      </c>
    </row>
    <row r="478" spans="1:5" x14ac:dyDescent="0.25">
      <c r="A478" s="10">
        <v>44410</v>
      </c>
      <c r="B478">
        <v>304887</v>
      </c>
      <c r="C478">
        <v>404439</v>
      </c>
      <c r="D478" t="s">
        <v>435</v>
      </c>
      <c r="E478">
        <v>149</v>
      </c>
    </row>
    <row r="479" spans="1:5" x14ac:dyDescent="0.25">
      <c r="A479" s="10">
        <v>44410</v>
      </c>
      <c r="B479">
        <v>304887</v>
      </c>
      <c r="C479">
        <v>417490</v>
      </c>
      <c r="D479" t="s">
        <v>436</v>
      </c>
      <c r="E479">
        <v>153</v>
      </c>
    </row>
    <row r="480" spans="1:5" x14ac:dyDescent="0.25">
      <c r="A480" s="10">
        <v>44410</v>
      </c>
      <c r="B480">
        <v>304887</v>
      </c>
      <c r="C480">
        <v>87502</v>
      </c>
      <c r="D480" t="s">
        <v>437</v>
      </c>
      <c r="E480">
        <v>157</v>
      </c>
    </row>
    <row r="481" spans="1:5" x14ac:dyDescent="0.25">
      <c r="A481" s="10">
        <v>44410</v>
      </c>
      <c r="B481">
        <v>304887</v>
      </c>
      <c r="C481">
        <v>431085</v>
      </c>
      <c r="D481" t="s">
        <v>438</v>
      </c>
      <c r="E481">
        <v>161</v>
      </c>
    </row>
    <row r="482" spans="1:5" x14ac:dyDescent="0.25">
      <c r="A482" s="10">
        <v>44410</v>
      </c>
      <c r="B482">
        <v>304882</v>
      </c>
      <c r="C482">
        <v>320300</v>
      </c>
      <c r="D482" t="s">
        <v>439</v>
      </c>
      <c r="E482">
        <v>165</v>
      </c>
    </row>
    <row r="483" spans="1:5" x14ac:dyDescent="0.25">
      <c r="A483" s="10">
        <v>44410</v>
      </c>
      <c r="B483">
        <v>304882</v>
      </c>
      <c r="C483" t="s">
        <v>91</v>
      </c>
      <c r="D483" t="s">
        <v>440</v>
      </c>
      <c r="E483">
        <v>169</v>
      </c>
    </row>
    <row r="484" spans="1:5" x14ac:dyDescent="0.25">
      <c r="A484" s="10">
        <v>44410</v>
      </c>
      <c r="B484">
        <v>304914</v>
      </c>
      <c r="C484">
        <v>307838</v>
      </c>
      <c r="D484" t="s">
        <v>441</v>
      </c>
      <c r="E484">
        <v>216</v>
      </c>
    </row>
    <row r="485" spans="1:5" x14ac:dyDescent="0.25">
      <c r="A485" s="10">
        <v>44410</v>
      </c>
      <c r="B485">
        <v>304914</v>
      </c>
      <c r="C485">
        <v>425044</v>
      </c>
      <c r="D485" t="s">
        <v>442</v>
      </c>
      <c r="E485">
        <v>224</v>
      </c>
    </row>
    <row r="486" spans="1:5" x14ac:dyDescent="0.25">
      <c r="A486" s="10">
        <v>44410</v>
      </c>
      <c r="B486">
        <v>304914</v>
      </c>
      <c r="C486">
        <v>425045</v>
      </c>
      <c r="D486" t="s">
        <v>443</v>
      </c>
      <c r="E486">
        <v>228</v>
      </c>
    </row>
    <row r="487" spans="1:5" x14ac:dyDescent="0.25">
      <c r="A487" s="10">
        <v>44410</v>
      </c>
      <c r="B487">
        <v>304914</v>
      </c>
      <c r="C487" t="s">
        <v>92</v>
      </c>
      <c r="D487" t="s">
        <v>444</v>
      </c>
      <c r="E487">
        <v>232</v>
      </c>
    </row>
    <row r="488" spans="1:5" x14ac:dyDescent="0.25">
      <c r="A488" s="10">
        <v>44410</v>
      </c>
      <c r="B488">
        <v>304914</v>
      </c>
      <c r="C488">
        <v>421733</v>
      </c>
      <c r="D488" t="s">
        <v>445</v>
      </c>
      <c r="E488">
        <v>236</v>
      </c>
    </row>
    <row r="489" spans="1:5" x14ac:dyDescent="0.25">
      <c r="A489" s="10">
        <v>44410</v>
      </c>
      <c r="B489">
        <v>304914</v>
      </c>
      <c r="C489">
        <v>421730</v>
      </c>
      <c r="D489" t="s">
        <v>446</v>
      </c>
      <c r="E489">
        <v>240</v>
      </c>
    </row>
    <row r="490" spans="1:5" x14ac:dyDescent="0.25">
      <c r="A490" s="10">
        <v>44410</v>
      </c>
      <c r="B490">
        <v>304914</v>
      </c>
      <c r="C490">
        <v>425046</v>
      </c>
      <c r="D490" t="s">
        <v>447</v>
      </c>
      <c r="E490">
        <v>244</v>
      </c>
    </row>
    <row r="491" spans="1:5" x14ac:dyDescent="0.25">
      <c r="A491" s="10">
        <v>44410</v>
      </c>
      <c r="B491">
        <v>304914</v>
      </c>
      <c r="C491">
        <v>439935</v>
      </c>
      <c r="D491" t="s">
        <v>448</v>
      </c>
      <c r="E491">
        <v>248</v>
      </c>
    </row>
    <row r="492" spans="1:5" x14ac:dyDescent="0.25">
      <c r="A492" s="10">
        <v>44410</v>
      </c>
      <c r="B492">
        <v>304914</v>
      </c>
      <c r="C492" t="s">
        <v>93</v>
      </c>
      <c r="D492" t="s">
        <v>449</v>
      </c>
      <c r="E492">
        <v>252</v>
      </c>
    </row>
    <row r="493" spans="1:5" x14ac:dyDescent="0.25">
      <c r="A493" s="10">
        <v>44410</v>
      </c>
      <c r="B493">
        <v>304885</v>
      </c>
      <c r="C493">
        <v>412667</v>
      </c>
      <c r="D493" t="s">
        <v>450</v>
      </c>
      <c r="E493">
        <v>256</v>
      </c>
    </row>
    <row r="494" spans="1:5" x14ac:dyDescent="0.25">
      <c r="A494" s="10">
        <v>44410</v>
      </c>
      <c r="B494">
        <v>304914</v>
      </c>
      <c r="C494" t="s">
        <v>226</v>
      </c>
      <c r="D494" t="s">
        <v>451</v>
      </c>
      <c r="E494">
        <v>260</v>
      </c>
    </row>
    <row r="495" spans="1:5" x14ac:dyDescent="0.25">
      <c r="A495" s="10">
        <v>44410</v>
      </c>
      <c r="B495">
        <v>304914</v>
      </c>
      <c r="C495">
        <v>262262</v>
      </c>
      <c r="D495" t="s">
        <v>452</v>
      </c>
      <c r="E495">
        <v>262</v>
      </c>
    </row>
    <row r="496" spans="1:5" x14ac:dyDescent="0.25">
      <c r="A496" s="10">
        <v>44410</v>
      </c>
      <c r="B496">
        <v>304914</v>
      </c>
      <c r="C496" t="s">
        <v>124</v>
      </c>
      <c r="D496" t="s">
        <v>453</v>
      </c>
      <c r="E496">
        <v>264</v>
      </c>
    </row>
    <row r="497" spans="1:5" x14ac:dyDescent="0.25">
      <c r="A497" s="10">
        <v>44410</v>
      </c>
      <c r="B497">
        <v>304914</v>
      </c>
      <c r="C497">
        <v>266266</v>
      </c>
      <c r="D497" t="s">
        <v>454</v>
      </c>
      <c r="E497">
        <v>266</v>
      </c>
    </row>
    <row r="498" spans="1:5" x14ac:dyDescent="0.25">
      <c r="A498" s="10">
        <v>44410</v>
      </c>
      <c r="B498">
        <v>304884</v>
      </c>
      <c r="C498">
        <v>99450</v>
      </c>
      <c r="D498" t="s">
        <v>455</v>
      </c>
      <c r="E498">
        <v>221</v>
      </c>
    </row>
    <row r="499" spans="1:5" x14ac:dyDescent="0.25">
      <c r="A499" s="10">
        <v>44410</v>
      </c>
      <c r="B499">
        <v>304884</v>
      </c>
      <c r="C499">
        <v>403441</v>
      </c>
      <c r="D499" t="s">
        <v>456</v>
      </c>
      <c r="E499">
        <v>225</v>
      </c>
    </row>
    <row r="500" spans="1:5" x14ac:dyDescent="0.25">
      <c r="A500" s="10">
        <v>44410</v>
      </c>
      <c r="B500">
        <v>304884</v>
      </c>
      <c r="C500">
        <v>425293</v>
      </c>
      <c r="D500" t="s">
        <v>457</v>
      </c>
      <c r="E500">
        <v>229</v>
      </c>
    </row>
    <row r="501" spans="1:5" x14ac:dyDescent="0.25">
      <c r="A501" s="10">
        <v>44410</v>
      </c>
      <c r="B501">
        <v>304988</v>
      </c>
      <c r="C501" t="s">
        <v>199</v>
      </c>
      <c r="D501" t="s">
        <v>458</v>
      </c>
      <c r="E501">
        <v>233</v>
      </c>
    </row>
    <row r="502" spans="1:5" x14ac:dyDescent="0.25">
      <c r="A502" s="10">
        <v>44410</v>
      </c>
      <c r="B502">
        <v>304988</v>
      </c>
      <c r="C502">
        <v>85227</v>
      </c>
      <c r="D502" t="s">
        <v>459</v>
      </c>
      <c r="E502">
        <v>237</v>
      </c>
    </row>
    <row r="503" spans="1:5" x14ac:dyDescent="0.25">
      <c r="A503" s="10">
        <v>44410</v>
      </c>
      <c r="B503">
        <v>304884</v>
      </c>
      <c r="C503">
        <v>328267</v>
      </c>
      <c r="D503" t="s">
        <v>460</v>
      </c>
      <c r="E503">
        <v>241</v>
      </c>
    </row>
    <row r="504" spans="1:5" x14ac:dyDescent="0.25">
      <c r="A504" s="10">
        <v>44410</v>
      </c>
      <c r="B504">
        <v>304882</v>
      </c>
      <c r="C504">
        <v>316420</v>
      </c>
      <c r="D504" t="s">
        <v>461</v>
      </c>
      <c r="E504">
        <v>245</v>
      </c>
    </row>
    <row r="505" spans="1:5" x14ac:dyDescent="0.25">
      <c r="A505" s="10">
        <v>44410</v>
      </c>
      <c r="B505">
        <v>304884</v>
      </c>
      <c r="C505">
        <v>314246</v>
      </c>
      <c r="D505" t="s">
        <v>462</v>
      </c>
      <c r="E505">
        <v>249</v>
      </c>
    </row>
    <row r="506" spans="1:5" x14ac:dyDescent="0.25">
      <c r="A506" s="10">
        <v>44410</v>
      </c>
      <c r="B506">
        <v>304884</v>
      </c>
      <c r="C506">
        <v>423185</v>
      </c>
      <c r="D506" t="s">
        <v>463</v>
      </c>
      <c r="E506">
        <v>253</v>
      </c>
    </row>
    <row r="507" spans="1:5" x14ac:dyDescent="0.25">
      <c r="A507" s="10">
        <v>44410</v>
      </c>
      <c r="B507">
        <v>304884</v>
      </c>
      <c r="C507">
        <v>412800</v>
      </c>
      <c r="D507" t="s">
        <v>464</v>
      </c>
      <c r="E507">
        <v>257</v>
      </c>
    </row>
    <row r="508" spans="1:5" x14ac:dyDescent="0.25">
      <c r="A508" s="10">
        <v>44410</v>
      </c>
      <c r="B508">
        <v>304884</v>
      </c>
      <c r="C508">
        <v>86159</v>
      </c>
      <c r="D508" t="s">
        <v>465</v>
      </c>
      <c r="E508">
        <v>261</v>
      </c>
    </row>
    <row r="509" spans="1:5" x14ac:dyDescent="0.25">
      <c r="A509" s="10">
        <v>44410</v>
      </c>
      <c r="B509">
        <v>304882</v>
      </c>
      <c r="C509">
        <v>317398</v>
      </c>
      <c r="D509" t="s">
        <v>466</v>
      </c>
      <c r="E509">
        <v>265</v>
      </c>
    </row>
    <row r="510" spans="1:5" x14ac:dyDescent="0.25">
      <c r="A510" s="10">
        <v>44410</v>
      </c>
      <c r="B510">
        <v>304883</v>
      </c>
      <c r="C510">
        <v>404328</v>
      </c>
      <c r="D510" t="s">
        <v>467</v>
      </c>
      <c r="E510">
        <v>324</v>
      </c>
    </row>
    <row r="511" spans="1:5" x14ac:dyDescent="0.25">
      <c r="A511" s="10">
        <v>44410</v>
      </c>
      <c r="B511">
        <v>304885</v>
      </c>
      <c r="C511">
        <v>321367</v>
      </c>
      <c r="D511" t="s">
        <v>468</v>
      </c>
      <c r="E511">
        <v>328</v>
      </c>
    </row>
    <row r="512" spans="1:5" x14ac:dyDescent="0.25">
      <c r="A512" s="10">
        <v>44410</v>
      </c>
      <c r="B512">
        <v>304883</v>
      </c>
      <c r="C512" t="s">
        <v>145</v>
      </c>
      <c r="D512" t="s">
        <v>469</v>
      </c>
      <c r="E512">
        <v>332</v>
      </c>
    </row>
    <row r="513" spans="1:5" x14ac:dyDescent="0.25">
      <c r="A513" s="10">
        <v>44410</v>
      </c>
      <c r="B513">
        <v>304885</v>
      </c>
      <c r="C513">
        <v>87377</v>
      </c>
      <c r="D513" t="s">
        <v>470</v>
      </c>
      <c r="E513">
        <v>336</v>
      </c>
    </row>
    <row r="514" spans="1:5" x14ac:dyDescent="0.25">
      <c r="A514" s="10">
        <v>44410</v>
      </c>
      <c r="B514">
        <v>304886</v>
      </c>
      <c r="C514">
        <v>405337</v>
      </c>
      <c r="D514" t="s">
        <v>471</v>
      </c>
      <c r="E514">
        <v>340</v>
      </c>
    </row>
    <row r="515" spans="1:5" x14ac:dyDescent="0.25">
      <c r="A515" s="10">
        <v>44410</v>
      </c>
      <c r="B515">
        <v>304881</v>
      </c>
      <c r="C515">
        <v>461887</v>
      </c>
      <c r="D515" t="s">
        <v>472</v>
      </c>
      <c r="E515">
        <v>344</v>
      </c>
    </row>
    <row r="516" spans="1:5" x14ac:dyDescent="0.25">
      <c r="A516" s="10">
        <v>44410</v>
      </c>
      <c r="B516">
        <v>304881</v>
      </c>
      <c r="C516">
        <v>415600</v>
      </c>
      <c r="D516" t="s">
        <v>473</v>
      </c>
      <c r="E516">
        <v>348</v>
      </c>
    </row>
    <row r="517" spans="1:5" x14ac:dyDescent="0.25">
      <c r="A517" s="10">
        <v>44410</v>
      </c>
      <c r="B517">
        <v>304881</v>
      </c>
      <c r="C517">
        <v>461885</v>
      </c>
      <c r="D517" t="s">
        <v>474</v>
      </c>
      <c r="E517">
        <v>352</v>
      </c>
    </row>
    <row r="518" spans="1:5" x14ac:dyDescent="0.25">
      <c r="A518" s="10">
        <v>44410</v>
      </c>
      <c r="B518">
        <v>304881</v>
      </c>
      <c r="C518">
        <v>434749</v>
      </c>
      <c r="D518" t="s">
        <v>475</v>
      </c>
      <c r="E518">
        <v>356</v>
      </c>
    </row>
    <row r="519" spans="1:5" x14ac:dyDescent="0.25">
      <c r="A519" s="10">
        <v>44410</v>
      </c>
      <c r="B519">
        <v>304881</v>
      </c>
      <c r="C519" t="s">
        <v>112</v>
      </c>
      <c r="D519" t="s">
        <v>476</v>
      </c>
      <c r="E519">
        <v>366</v>
      </c>
    </row>
    <row r="520" spans="1:5" x14ac:dyDescent="0.25">
      <c r="A520" s="10">
        <v>44410</v>
      </c>
      <c r="B520">
        <v>304881</v>
      </c>
      <c r="C520" t="s">
        <v>97</v>
      </c>
      <c r="D520" t="s">
        <v>477</v>
      </c>
      <c r="E520">
        <v>368</v>
      </c>
    </row>
    <row r="521" spans="1:5" x14ac:dyDescent="0.25">
      <c r="A521" s="10">
        <v>44410</v>
      </c>
      <c r="B521">
        <v>304885</v>
      </c>
      <c r="C521" t="s">
        <v>166</v>
      </c>
      <c r="D521" t="s">
        <v>478</v>
      </c>
      <c r="E521">
        <v>370</v>
      </c>
    </row>
    <row r="522" spans="1:5" x14ac:dyDescent="0.25">
      <c r="A522" s="10">
        <v>44410</v>
      </c>
      <c r="B522">
        <v>304882</v>
      </c>
      <c r="C522" t="s">
        <v>227</v>
      </c>
      <c r="D522" t="s">
        <v>479</v>
      </c>
      <c r="E522">
        <v>376</v>
      </c>
    </row>
    <row r="523" spans="1:5" x14ac:dyDescent="0.25">
      <c r="A523" s="10">
        <v>44410</v>
      </c>
      <c r="B523">
        <v>304883</v>
      </c>
      <c r="C523" t="s">
        <v>228</v>
      </c>
      <c r="D523" t="s">
        <v>480</v>
      </c>
      <c r="E523">
        <v>319</v>
      </c>
    </row>
    <row r="524" spans="1:5" x14ac:dyDescent="0.25">
      <c r="A524" s="10">
        <v>44410</v>
      </c>
      <c r="B524">
        <v>304883</v>
      </c>
      <c r="C524">
        <v>432597</v>
      </c>
      <c r="D524" t="s">
        <v>481</v>
      </c>
      <c r="E524">
        <v>321</v>
      </c>
    </row>
    <row r="525" spans="1:5" x14ac:dyDescent="0.25">
      <c r="A525" s="10">
        <v>44410</v>
      </c>
      <c r="B525">
        <v>304883</v>
      </c>
      <c r="C525" t="s">
        <v>99</v>
      </c>
      <c r="D525" t="s">
        <v>482</v>
      </c>
      <c r="E525">
        <v>325</v>
      </c>
    </row>
    <row r="526" spans="1:5" x14ac:dyDescent="0.25">
      <c r="A526" s="10">
        <v>44410</v>
      </c>
      <c r="B526">
        <v>304883</v>
      </c>
      <c r="C526">
        <v>303354</v>
      </c>
      <c r="D526" t="s">
        <v>483</v>
      </c>
      <c r="E526">
        <v>329</v>
      </c>
    </row>
    <row r="527" spans="1:5" x14ac:dyDescent="0.25">
      <c r="A527" s="10">
        <v>44410</v>
      </c>
      <c r="B527">
        <v>304883</v>
      </c>
      <c r="C527">
        <v>99443</v>
      </c>
      <c r="D527" t="s">
        <v>484</v>
      </c>
      <c r="E527">
        <v>333</v>
      </c>
    </row>
    <row r="528" spans="1:5" x14ac:dyDescent="0.25">
      <c r="A528" s="10">
        <v>44410</v>
      </c>
      <c r="B528">
        <v>304883</v>
      </c>
      <c r="C528">
        <v>432598</v>
      </c>
      <c r="D528" t="s">
        <v>485</v>
      </c>
      <c r="E528">
        <v>337</v>
      </c>
    </row>
    <row r="529" spans="1:5" x14ac:dyDescent="0.25">
      <c r="A529" s="10">
        <v>44410</v>
      </c>
      <c r="B529">
        <v>304883</v>
      </c>
      <c r="C529">
        <v>310821</v>
      </c>
      <c r="D529" t="s">
        <v>486</v>
      </c>
      <c r="E529">
        <v>341</v>
      </c>
    </row>
    <row r="530" spans="1:5" x14ac:dyDescent="0.25">
      <c r="A530" s="10">
        <v>44410</v>
      </c>
      <c r="B530">
        <v>304885</v>
      </c>
      <c r="C530">
        <v>402666</v>
      </c>
      <c r="D530" t="s">
        <v>487</v>
      </c>
      <c r="E530">
        <v>345</v>
      </c>
    </row>
    <row r="531" spans="1:5" x14ac:dyDescent="0.25">
      <c r="A531" s="10">
        <v>44410</v>
      </c>
      <c r="B531">
        <v>304885</v>
      </c>
      <c r="C531">
        <v>414479</v>
      </c>
      <c r="D531" t="s">
        <v>488</v>
      </c>
      <c r="E531">
        <v>349</v>
      </c>
    </row>
    <row r="532" spans="1:5" x14ac:dyDescent="0.25">
      <c r="A532" s="10">
        <v>44410</v>
      </c>
      <c r="B532">
        <v>304885</v>
      </c>
      <c r="C532">
        <v>87376</v>
      </c>
      <c r="D532" t="s">
        <v>489</v>
      </c>
      <c r="E532">
        <v>353</v>
      </c>
    </row>
    <row r="533" spans="1:5" x14ac:dyDescent="0.25">
      <c r="A533" s="10">
        <v>44410</v>
      </c>
      <c r="B533">
        <v>304885</v>
      </c>
      <c r="C533">
        <v>320665</v>
      </c>
      <c r="D533" t="s">
        <v>490</v>
      </c>
      <c r="E533">
        <v>357</v>
      </c>
    </row>
    <row r="534" spans="1:5" x14ac:dyDescent="0.25">
      <c r="A534" s="10">
        <v>44410</v>
      </c>
      <c r="B534">
        <v>304881</v>
      </c>
      <c r="C534">
        <v>461886</v>
      </c>
      <c r="D534" t="s">
        <v>491</v>
      </c>
      <c r="E534">
        <v>361</v>
      </c>
    </row>
    <row r="535" spans="1:5" x14ac:dyDescent="0.25">
      <c r="A535" s="10">
        <v>44410</v>
      </c>
      <c r="B535">
        <v>304881</v>
      </c>
      <c r="C535">
        <v>320763</v>
      </c>
      <c r="D535" t="s">
        <v>492</v>
      </c>
      <c r="E535">
        <v>365</v>
      </c>
    </row>
    <row r="536" spans="1:5" x14ac:dyDescent="0.25">
      <c r="A536" s="10">
        <v>44410</v>
      </c>
      <c r="B536">
        <v>304881</v>
      </c>
      <c r="C536" t="s">
        <v>113</v>
      </c>
      <c r="D536" t="s">
        <v>493</v>
      </c>
      <c r="E536">
        <v>369</v>
      </c>
    </row>
    <row r="537" spans="1:5" x14ac:dyDescent="0.25">
      <c r="A537" s="10">
        <v>44410</v>
      </c>
      <c r="B537">
        <v>304887</v>
      </c>
      <c r="C537">
        <v>203589</v>
      </c>
      <c r="D537" t="s">
        <v>494</v>
      </c>
      <c r="E537">
        <v>420</v>
      </c>
    </row>
    <row r="538" spans="1:5" x14ac:dyDescent="0.25">
      <c r="A538" s="10">
        <v>44410</v>
      </c>
      <c r="B538">
        <v>304883</v>
      </c>
      <c r="C538" t="s">
        <v>229</v>
      </c>
      <c r="D538" t="s">
        <v>495</v>
      </c>
      <c r="E538">
        <v>436</v>
      </c>
    </row>
    <row r="539" spans="1:5" x14ac:dyDescent="0.25">
      <c r="A539" s="10">
        <v>44410</v>
      </c>
      <c r="B539">
        <v>304883</v>
      </c>
      <c r="C539">
        <v>438438</v>
      </c>
      <c r="D539" t="s">
        <v>496</v>
      </c>
      <c r="E539">
        <v>438</v>
      </c>
    </row>
    <row r="540" spans="1:5" x14ac:dyDescent="0.25">
      <c r="A540" s="10">
        <v>44410</v>
      </c>
      <c r="B540">
        <v>304887</v>
      </c>
      <c r="C540" t="s">
        <v>126</v>
      </c>
      <c r="D540" t="s">
        <v>497</v>
      </c>
      <c r="E540">
        <v>468</v>
      </c>
    </row>
    <row r="541" spans="1:5" x14ac:dyDescent="0.25">
      <c r="A541" s="10">
        <v>44410</v>
      </c>
      <c r="B541">
        <v>304882</v>
      </c>
      <c r="C541" t="s">
        <v>120</v>
      </c>
      <c r="D541" t="s">
        <v>498</v>
      </c>
      <c r="E541">
        <v>472</v>
      </c>
    </row>
    <row r="542" spans="1:5" x14ac:dyDescent="0.25">
      <c r="A542" s="10">
        <v>44410</v>
      </c>
      <c r="B542">
        <v>304884</v>
      </c>
      <c r="C542" t="s">
        <v>138</v>
      </c>
      <c r="D542" t="s">
        <v>499</v>
      </c>
      <c r="E542">
        <v>419</v>
      </c>
    </row>
    <row r="543" spans="1:5" x14ac:dyDescent="0.25">
      <c r="A543" s="10">
        <v>44410</v>
      </c>
      <c r="B543">
        <v>304886</v>
      </c>
      <c r="C543">
        <v>14958</v>
      </c>
      <c r="D543" t="s">
        <v>500</v>
      </c>
      <c r="E543">
        <v>421</v>
      </c>
    </row>
    <row r="544" spans="1:5" x14ac:dyDescent="0.25">
      <c r="A544" s="10">
        <v>44410</v>
      </c>
      <c r="B544">
        <v>304881</v>
      </c>
      <c r="C544" t="s">
        <v>115</v>
      </c>
      <c r="D544" t="s">
        <v>501</v>
      </c>
      <c r="E544">
        <v>423</v>
      </c>
    </row>
    <row r="545" spans="1:5" x14ac:dyDescent="0.25">
      <c r="A545" s="10">
        <v>44410</v>
      </c>
      <c r="B545">
        <v>304883</v>
      </c>
      <c r="C545" t="s">
        <v>230</v>
      </c>
      <c r="D545" t="s">
        <v>502</v>
      </c>
      <c r="E545">
        <v>425</v>
      </c>
    </row>
    <row r="546" spans="1:5" x14ac:dyDescent="0.25">
      <c r="A546" s="10">
        <v>44410</v>
      </c>
      <c r="B546">
        <v>304884</v>
      </c>
      <c r="C546" t="s">
        <v>101</v>
      </c>
      <c r="D546" t="s">
        <v>503</v>
      </c>
      <c r="E546">
        <v>520</v>
      </c>
    </row>
    <row r="547" spans="1:5" x14ac:dyDescent="0.25">
      <c r="A547" s="10">
        <v>44410</v>
      </c>
      <c r="B547">
        <v>304884</v>
      </c>
      <c r="C547">
        <v>581</v>
      </c>
      <c r="D547" t="s">
        <v>504</v>
      </c>
      <c r="E547">
        <v>522</v>
      </c>
    </row>
    <row r="548" spans="1:5" x14ac:dyDescent="0.25">
      <c r="A548" s="10">
        <v>44410</v>
      </c>
      <c r="B548">
        <v>304884</v>
      </c>
      <c r="C548">
        <v>524524</v>
      </c>
      <c r="D548" t="s">
        <v>505</v>
      </c>
      <c r="E548">
        <v>524</v>
      </c>
    </row>
    <row r="549" spans="1:5" x14ac:dyDescent="0.25">
      <c r="A549" s="10">
        <v>44410</v>
      </c>
      <c r="B549">
        <v>304884</v>
      </c>
      <c r="C549" t="s">
        <v>123</v>
      </c>
      <c r="D549" t="s">
        <v>506</v>
      </c>
      <c r="E549">
        <v>526</v>
      </c>
    </row>
    <row r="550" spans="1:5" x14ac:dyDescent="0.25">
      <c r="A550" s="10">
        <v>44410</v>
      </c>
      <c r="B550">
        <v>304884</v>
      </c>
      <c r="C550" t="s">
        <v>123</v>
      </c>
      <c r="D550" t="s">
        <v>507</v>
      </c>
      <c r="E550">
        <v>526</v>
      </c>
    </row>
    <row r="551" spans="1:5" x14ac:dyDescent="0.25">
      <c r="A551" s="10">
        <v>44410</v>
      </c>
      <c r="B551">
        <v>304884</v>
      </c>
      <c r="C551" t="s">
        <v>123</v>
      </c>
      <c r="D551" t="s">
        <v>508</v>
      </c>
      <c r="E551">
        <v>526</v>
      </c>
    </row>
    <row r="552" spans="1:5" x14ac:dyDescent="0.25">
      <c r="A552" s="10">
        <v>44410</v>
      </c>
      <c r="B552">
        <v>304887</v>
      </c>
      <c r="C552" t="s">
        <v>231</v>
      </c>
      <c r="D552" t="s">
        <v>509</v>
      </c>
      <c r="E552">
        <v>530</v>
      </c>
    </row>
    <row r="553" spans="1:5" x14ac:dyDescent="0.25">
      <c r="A553" s="10">
        <v>44410</v>
      </c>
      <c r="B553">
        <v>304881</v>
      </c>
      <c r="C553" t="s">
        <v>104</v>
      </c>
      <c r="D553" t="s">
        <v>510</v>
      </c>
      <c r="E553">
        <v>532</v>
      </c>
    </row>
    <row r="554" spans="1:5" x14ac:dyDescent="0.25">
      <c r="A554" s="10">
        <v>44410</v>
      </c>
      <c r="B554">
        <v>304886</v>
      </c>
      <c r="C554" t="s">
        <v>106</v>
      </c>
      <c r="D554" t="s">
        <v>511</v>
      </c>
      <c r="E554">
        <v>616</v>
      </c>
    </row>
    <row r="555" spans="1:5" x14ac:dyDescent="0.25">
      <c r="A555" s="10">
        <v>44410</v>
      </c>
      <c r="B555">
        <v>304886</v>
      </c>
      <c r="C555" t="s">
        <v>109</v>
      </c>
      <c r="D555" t="s">
        <v>512</v>
      </c>
      <c r="E555">
        <v>654</v>
      </c>
    </row>
    <row r="556" spans="1:5" x14ac:dyDescent="0.25">
      <c r="A556" s="10">
        <v>44410</v>
      </c>
      <c r="B556">
        <v>304886</v>
      </c>
      <c r="C556" t="s">
        <v>121</v>
      </c>
      <c r="D556" t="s">
        <v>513</v>
      </c>
      <c r="E556">
        <v>656</v>
      </c>
    </row>
    <row r="557" spans="1:5" x14ac:dyDescent="0.25">
      <c r="A557" s="10">
        <v>44410</v>
      </c>
      <c r="B557">
        <v>304886</v>
      </c>
      <c r="C557" t="s">
        <v>117</v>
      </c>
      <c r="D557" t="s">
        <v>514</v>
      </c>
      <c r="E557">
        <v>660</v>
      </c>
    </row>
    <row r="558" spans="1:5" x14ac:dyDescent="0.25">
      <c r="A558" s="10">
        <v>44410</v>
      </c>
      <c r="B558">
        <v>304914</v>
      </c>
      <c r="C558">
        <v>662</v>
      </c>
      <c r="D558" t="s">
        <v>515</v>
      </c>
      <c r="E558">
        <v>662</v>
      </c>
    </row>
    <row r="559" spans="1:5" x14ac:dyDescent="0.25">
      <c r="A559" s="10">
        <v>44410</v>
      </c>
      <c r="B559">
        <v>304886</v>
      </c>
      <c r="C559" t="s">
        <v>232</v>
      </c>
      <c r="D559" t="s">
        <v>516</v>
      </c>
      <c r="E559">
        <v>668</v>
      </c>
    </row>
    <row r="560" spans="1:5" x14ac:dyDescent="0.25">
      <c r="A560" s="10">
        <v>44410</v>
      </c>
      <c r="B560">
        <v>304886</v>
      </c>
      <c r="C560">
        <v>87511</v>
      </c>
      <c r="D560" t="s">
        <v>517</v>
      </c>
      <c r="E560">
        <v>615</v>
      </c>
    </row>
    <row r="561" spans="1:5" x14ac:dyDescent="0.25">
      <c r="A561" s="10">
        <v>44410</v>
      </c>
      <c r="B561">
        <v>304914</v>
      </c>
      <c r="C561">
        <v>421736</v>
      </c>
      <c r="D561" t="s">
        <v>518</v>
      </c>
      <c r="E561">
        <v>617</v>
      </c>
    </row>
    <row r="562" spans="1:5" x14ac:dyDescent="0.25">
      <c r="A562" s="10">
        <v>44411</v>
      </c>
      <c r="B562">
        <v>304988</v>
      </c>
      <c r="C562">
        <v>432600</v>
      </c>
      <c r="D562" t="s">
        <v>417</v>
      </c>
      <c r="E562">
        <v>124</v>
      </c>
    </row>
    <row r="563" spans="1:5" x14ac:dyDescent="0.25">
      <c r="A563" s="10">
        <v>44411</v>
      </c>
      <c r="B563">
        <v>304988</v>
      </c>
      <c r="C563">
        <v>432595</v>
      </c>
      <c r="D563" t="s">
        <v>418</v>
      </c>
      <c r="E563">
        <v>128</v>
      </c>
    </row>
    <row r="564" spans="1:5" x14ac:dyDescent="0.25">
      <c r="A564" s="10">
        <v>44411</v>
      </c>
      <c r="B564">
        <v>304886</v>
      </c>
      <c r="C564" t="s">
        <v>234</v>
      </c>
      <c r="D564" t="s">
        <v>419</v>
      </c>
      <c r="E564">
        <v>132</v>
      </c>
    </row>
    <row r="565" spans="1:5" x14ac:dyDescent="0.25">
      <c r="A565" s="10">
        <v>44411</v>
      </c>
      <c r="B565">
        <v>304988</v>
      </c>
      <c r="C565">
        <v>84334</v>
      </c>
      <c r="D565" t="s">
        <v>420</v>
      </c>
      <c r="E565">
        <v>136</v>
      </c>
    </row>
    <row r="566" spans="1:5" x14ac:dyDescent="0.25">
      <c r="A566" s="10">
        <v>44411</v>
      </c>
      <c r="B566">
        <v>304988</v>
      </c>
      <c r="C566">
        <v>463875</v>
      </c>
      <c r="D566" t="s">
        <v>421</v>
      </c>
      <c r="E566">
        <v>140</v>
      </c>
    </row>
    <row r="567" spans="1:5" x14ac:dyDescent="0.25">
      <c r="A567" s="10">
        <v>44411</v>
      </c>
      <c r="B567">
        <v>304887</v>
      </c>
      <c r="C567">
        <v>461696</v>
      </c>
      <c r="D567" t="s">
        <v>422</v>
      </c>
      <c r="E567">
        <v>144</v>
      </c>
    </row>
    <row r="568" spans="1:5" x14ac:dyDescent="0.25">
      <c r="A568" s="10">
        <v>44411</v>
      </c>
      <c r="B568">
        <v>304882</v>
      </c>
      <c r="C568" t="s">
        <v>224</v>
      </c>
      <c r="D568" t="s">
        <v>423</v>
      </c>
      <c r="E568">
        <v>148</v>
      </c>
    </row>
    <row r="569" spans="1:5" x14ac:dyDescent="0.25">
      <c r="A569" s="10">
        <v>44411</v>
      </c>
      <c r="B569">
        <v>304887</v>
      </c>
      <c r="C569">
        <v>411264</v>
      </c>
      <c r="D569" t="s">
        <v>424</v>
      </c>
      <c r="E569">
        <v>152</v>
      </c>
    </row>
    <row r="570" spans="1:5" x14ac:dyDescent="0.25">
      <c r="A570" s="10">
        <v>44411</v>
      </c>
      <c r="B570">
        <v>304887</v>
      </c>
      <c r="C570">
        <v>420522</v>
      </c>
      <c r="D570" t="s">
        <v>425</v>
      </c>
      <c r="E570">
        <v>156</v>
      </c>
    </row>
    <row r="571" spans="1:5" x14ac:dyDescent="0.25">
      <c r="A571" s="10">
        <v>44411</v>
      </c>
      <c r="B571">
        <v>304887</v>
      </c>
      <c r="C571">
        <v>431154</v>
      </c>
      <c r="D571" t="s">
        <v>426</v>
      </c>
      <c r="E571">
        <v>160</v>
      </c>
    </row>
    <row r="572" spans="1:5" x14ac:dyDescent="0.25">
      <c r="A572" s="10">
        <v>44411</v>
      </c>
      <c r="B572">
        <v>304887</v>
      </c>
      <c r="C572" t="s">
        <v>128</v>
      </c>
      <c r="D572" t="s">
        <v>427</v>
      </c>
      <c r="E572">
        <v>162</v>
      </c>
    </row>
    <row r="573" spans="1:5" x14ac:dyDescent="0.25">
      <c r="A573" s="10">
        <v>44411</v>
      </c>
      <c r="B573">
        <v>304887</v>
      </c>
      <c r="C573" t="s">
        <v>110</v>
      </c>
      <c r="D573" t="s">
        <v>428</v>
      </c>
      <c r="E573">
        <v>164</v>
      </c>
    </row>
    <row r="574" spans="1:5" x14ac:dyDescent="0.25">
      <c r="A574" s="10">
        <v>44411</v>
      </c>
      <c r="B574">
        <v>304881</v>
      </c>
      <c r="C574">
        <v>434748</v>
      </c>
      <c r="D574" t="s">
        <v>429</v>
      </c>
      <c r="E574">
        <v>121</v>
      </c>
    </row>
    <row r="575" spans="1:5" x14ac:dyDescent="0.25">
      <c r="A575" s="10">
        <v>44411</v>
      </c>
      <c r="B575">
        <v>304881</v>
      </c>
      <c r="C575">
        <v>424959</v>
      </c>
      <c r="D575" t="s">
        <v>430</v>
      </c>
      <c r="E575">
        <v>125</v>
      </c>
    </row>
    <row r="576" spans="1:5" x14ac:dyDescent="0.25">
      <c r="A576" s="10">
        <v>44411</v>
      </c>
      <c r="B576">
        <v>304887</v>
      </c>
      <c r="C576">
        <v>417342</v>
      </c>
      <c r="D576" t="s">
        <v>431</v>
      </c>
      <c r="E576">
        <v>129</v>
      </c>
    </row>
    <row r="577" spans="1:5" x14ac:dyDescent="0.25">
      <c r="A577" s="10">
        <v>44411</v>
      </c>
      <c r="B577">
        <v>304882</v>
      </c>
      <c r="C577">
        <v>316421</v>
      </c>
      <c r="D577" t="s">
        <v>432</v>
      </c>
      <c r="E577">
        <v>133</v>
      </c>
    </row>
    <row r="578" spans="1:5" x14ac:dyDescent="0.25">
      <c r="A578" s="10">
        <v>44411</v>
      </c>
      <c r="B578">
        <v>304881</v>
      </c>
      <c r="C578">
        <v>404394</v>
      </c>
      <c r="D578" t="s">
        <v>433</v>
      </c>
      <c r="E578">
        <v>137</v>
      </c>
    </row>
    <row r="579" spans="1:5" x14ac:dyDescent="0.25">
      <c r="A579" s="10">
        <v>44411</v>
      </c>
      <c r="B579">
        <v>304882</v>
      </c>
      <c r="C579">
        <v>400398</v>
      </c>
      <c r="D579" t="s">
        <v>434</v>
      </c>
      <c r="E579">
        <v>145</v>
      </c>
    </row>
    <row r="580" spans="1:5" x14ac:dyDescent="0.25">
      <c r="A580" s="10">
        <v>44411</v>
      </c>
      <c r="B580">
        <v>304887</v>
      </c>
      <c r="C580">
        <v>404439</v>
      </c>
      <c r="D580" t="s">
        <v>435</v>
      </c>
      <c r="E580">
        <v>149</v>
      </c>
    </row>
    <row r="581" spans="1:5" x14ac:dyDescent="0.25">
      <c r="A581" s="10">
        <v>44411</v>
      </c>
      <c r="B581">
        <v>304887</v>
      </c>
      <c r="C581">
        <v>417490</v>
      </c>
      <c r="D581" t="s">
        <v>436</v>
      </c>
      <c r="E581">
        <v>153</v>
      </c>
    </row>
    <row r="582" spans="1:5" x14ac:dyDescent="0.25">
      <c r="A582" s="10">
        <v>44411</v>
      </c>
      <c r="B582">
        <v>304887</v>
      </c>
      <c r="C582">
        <v>87502</v>
      </c>
      <c r="D582" t="s">
        <v>437</v>
      </c>
      <c r="E582">
        <v>157</v>
      </c>
    </row>
    <row r="583" spans="1:5" x14ac:dyDescent="0.25">
      <c r="A583" s="10">
        <v>44411</v>
      </c>
      <c r="B583">
        <v>304887</v>
      </c>
      <c r="C583">
        <v>431085</v>
      </c>
      <c r="D583" t="s">
        <v>438</v>
      </c>
      <c r="E583">
        <v>161</v>
      </c>
    </row>
    <row r="584" spans="1:5" x14ac:dyDescent="0.25">
      <c r="A584" s="10">
        <v>44411</v>
      </c>
      <c r="B584">
        <v>304882</v>
      </c>
      <c r="C584">
        <v>320300</v>
      </c>
      <c r="D584" t="s">
        <v>439</v>
      </c>
      <c r="E584">
        <v>165</v>
      </c>
    </row>
    <row r="585" spans="1:5" x14ac:dyDescent="0.25">
      <c r="A585" s="10">
        <v>44411</v>
      </c>
      <c r="B585">
        <v>304882</v>
      </c>
      <c r="C585" t="s">
        <v>111</v>
      </c>
      <c r="D585" t="s">
        <v>440</v>
      </c>
      <c r="E585">
        <v>169</v>
      </c>
    </row>
    <row r="586" spans="1:5" x14ac:dyDescent="0.25">
      <c r="A586" s="10">
        <v>44411</v>
      </c>
      <c r="B586">
        <v>304914</v>
      </c>
      <c r="C586">
        <v>307838</v>
      </c>
      <c r="D586" t="s">
        <v>441</v>
      </c>
      <c r="E586">
        <v>216</v>
      </c>
    </row>
    <row r="587" spans="1:5" x14ac:dyDescent="0.25">
      <c r="A587" s="10">
        <v>44411</v>
      </c>
      <c r="B587">
        <v>304914</v>
      </c>
      <c r="C587">
        <v>425044</v>
      </c>
      <c r="D587" t="s">
        <v>442</v>
      </c>
      <c r="E587">
        <v>224</v>
      </c>
    </row>
    <row r="588" spans="1:5" x14ac:dyDescent="0.25">
      <c r="A588" s="10">
        <v>44411</v>
      </c>
      <c r="B588">
        <v>304914</v>
      </c>
      <c r="C588">
        <v>425045</v>
      </c>
      <c r="D588" t="s">
        <v>443</v>
      </c>
      <c r="E588">
        <v>228</v>
      </c>
    </row>
    <row r="589" spans="1:5" x14ac:dyDescent="0.25">
      <c r="A589" s="10">
        <v>44411</v>
      </c>
      <c r="B589">
        <v>304914</v>
      </c>
      <c r="C589" t="s">
        <v>92</v>
      </c>
      <c r="D589" t="s">
        <v>444</v>
      </c>
      <c r="E589">
        <v>232</v>
      </c>
    </row>
    <row r="590" spans="1:5" x14ac:dyDescent="0.25">
      <c r="A590" s="10">
        <v>44411</v>
      </c>
      <c r="B590">
        <v>304914</v>
      </c>
      <c r="C590">
        <v>421733</v>
      </c>
      <c r="D590" t="s">
        <v>445</v>
      </c>
      <c r="E590">
        <v>236</v>
      </c>
    </row>
    <row r="591" spans="1:5" x14ac:dyDescent="0.25">
      <c r="A591" s="10">
        <v>44411</v>
      </c>
      <c r="B591">
        <v>304914</v>
      </c>
      <c r="C591">
        <v>421730</v>
      </c>
      <c r="D591" t="s">
        <v>446</v>
      </c>
      <c r="E591">
        <v>240</v>
      </c>
    </row>
    <row r="592" spans="1:5" x14ac:dyDescent="0.25">
      <c r="A592" s="10">
        <v>44411</v>
      </c>
      <c r="B592">
        <v>304914</v>
      </c>
      <c r="C592">
        <v>425046</v>
      </c>
      <c r="D592" t="s">
        <v>447</v>
      </c>
      <c r="E592">
        <v>244</v>
      </c>
    </row>
    <row r="593" spans="1:5" x14ac:dyDescent="0.25">
      <c r="A593" s="10">
        <v>44411</v>
      </c>
      <c r="B593">
        <v>304914</v>
      </c>
      <c r="C593">
        <v>439935</v>
      </c>
      <c r="D593" t="s">
        <v>448</v>
      </c>
      <c r="E593">
        <v>248</v>
      </c>
    </row>
    <row r="594" spans="1:5" x14ac:dyDescent="0.25">
      <c r="A594" s="10">
        <v>44411</v>
      </c>
      <c r="B594">
        <v>304914</v>
      </c>
      <c r="C594" t="s">
        <v>93</v>
      </c>
      <c r="D594" t="s">
        <v>449</v>
      </c>
      <c r="E594">
        <v>252</v>
      </c>
    </row>
    <row r="595" spans="1:5" x14ac:dyDescent="0.25">
      <c r="A595" s="10">
        <v>44411</v>
      </c>
      <c r="B595">
        <v>304885</v>
      </c>
      <c r="C595" t="s">
        <v>142</v>
      </c>
      <c r="D595" t="s">
        <v>450</v>
      </c>
      <c r="E595">
        <v>256</v>
      </c>
    </row>
    <row r="596" spans="1:5" x14ac:dyDescent="0.25">
      <c r="A596" s="10">
        <v>44411</v>
      </c>
      <c r="B596">
        <v>304914</v>
      </c>
      <c r="C596" t="s">
        <v>94</v>
      </c>
      <c r="D596" t="s">
        <v>451</v>
      </c>
      <c r="E596">
        <v>260</v>
      </c>
    </row>
    <row r="597" spans="1:5" x14ac:dyDescent="0.25">
      <c r="A597" s="10">
        <v>44411</v>
      </c>
      <c r="B597">
        <v>304914</v>
      </c>
      <c r="C597" t="s">
        <v>124</v>
      </c>
      <c r="D597" t="s">
        <v>452</v>
      </c>
      <c r="E597">
        <v>264</v>
      </c>
    </row>
    <row r="598" spans="1:5" x14ac:dyDescent="0.25">
      <c r="A598" s="10">
        <v>44411</v>
      </c>
      <c r="B598">
        <v>304914</v>
      </c>
      <c r="C598">
        <v>266266</v>
      </c>
      <c r="D598" t="s">
        <v>453</v>
      </c>
      <c r="E598">
        <v>266</v>
      </c>
    </row>
    <row r="599" spans="1:5" x14ac:dyDescent="0.25">
      <c r="A599" s="10">
        <v>44411</v>
      </c>
      <c r="B599">
        <v>304884</v>
      </c>
      <c r="C599">
        <v>99450</v>
      </c>
      <c r="D599" t="s">
        <v>454</v>
      </c>
      <c r="E599">
        <v>221</v>
      </c>
    </row>
    <row r="600" spans="1:5" x14ac:dyDescent="0.25">
      <c r="A600" s="10">
        <v>44411</v>
      </c>
      <c r="B600">
        <v>304884</v>
      </c>
      <c r="C600">
        <v>403441</v>
      </c>
      <c r="D600" t="s">
        <v>455</v>
      </c>
      <c r="E600">
        <v>225</v>
      </c>
    </row>
    <row r="601" spans="1:5" x14ac:dyDescent="0.25">
      <c r="A601" s="10">
        <v>44411</v>
      </c>
      <c r="B601">
        <v>304884</v>
      </c>
      <c r="C601">
        <v>86159</v>
      </c>
      <c r="D601" t="s">
        <v>456</v>
      </c>
      <c r="E601">
        <v>229</v>
      </c>
    </row>
    <row r="602" spans="1:5" x14ac:dyDescent="0.25">
      <c r="A602" s="10">
        <v>44411</v>
      </c>
      <c r="B602">
        <v>304988</v>
      </c>
      <c r="C602">
        <v>303354</v>
      </c>
      <c r="D602" t="s">
        <v>457</v>
      </c>
      <c r="E602">
        <v>233</v>
      </c>
    </row>
    <row r="603" spans="1:5" x14ac:dyDescent="0.25">
      <c r="A603" s="10">
        <v>44411</v>
      </c>
      <c r="B603">
        <v>304988</v>
      </c>
      <c r="C603">
        <v>85227</v>
      </c>
      <c r="D603" t="s">
        <v>458</v>
      </c>
      <c r="E603">
        <v>237</v>
      </c>
    </row>
    <row r="604" spans="1:5" x14ac:dyDescent="0.25">
      <c r="A604" s="10">
        <v>44411</v>
      </c>
      <c r="B604">
        <v>304884</v>
      </c>
      <c r="C604">
        <v>423185</v>
      </c>
      <c r="D604" t="s">
        <v>459</v>
      </c>
      <c r="E604">
        <v>241</v>
      </c>
    </row>
    <row r="605" spans="1:5" x14ac:dyDescent="0.25">
      <c r="A605" s="10">
        <v>44411</v>
      </c>
      <c r="B605">
        <v>304882</v>
      </c>
      <c r="C605">
        <v>316420</v>
      </c>
      <c r="D605" t="s">
        <v>460</v>
      </c>
      <c r="E605">
        <v>245</v>
      </c>
    </row>
    <row r="606" spans="1:5" x14ac:dyDescent="0.25">
      <c r="A606" s="10">
        <v>44411</v>
      </c>
      <c r="B606">
        <v>304884</v>
      </c>
      <c r="C606">
        <v>314246</v>
      </c>
      <c r="D606" t="s">
        <v>461</v>
      </c>
      <c r="E606">
        <v>249</v>
      </c>
    </row>
    <row r="607" spans="1:5" x14ac:dyDescent="0.25">
      <c r="A607" s="10">
        <v>44411</v>
      </c>
      <c r="B607">
        <v>304884</v>
      </c>
      <c r="C607" t="s">
        <v>235</v>
      </c>
      <c r="D607" t="s">
        <v>462</v>
      </c>
      <c r="E607">
        <v>253</v>
      </c>
    </row>
    <row r="608" spans="1:5" x14ac:dyDescent="0.25">
      <c r="A608" s="10">
        <v>44411</v>
      </c>
      <c r="B608">
        <v>304884</v>
      </c>
      <c r="C608">
        <v>412800</v>
      </c>
      <c r="D608" t="s">
        <v>463</v>
      </c>
      <c r="E608">
        <v>257</v>
      </c>
    </row>
    <row r="609" spans="1:5" x14ac:dyDescent="0.25">
      <c r="A609" s="10">
        <v>44411</v>
      </c>
      <c r="B609">
        <v>304884</v>
      </c>
      <c r="C609">
        <v>328267</v>
      </c>
      <c r="D609" t="s">
        <v>464</v>
      </c>
      <c r="E609">
        <v>261</v>
      </c>
    </row>
    <row r="610" spans="1:5" x14ac:dyDescent="0.25">
      <c r="A610" s="10">
        <v>44411</v>
      </c>
      <c r="B610">
        <v>304882</v>
      </c>
      <c r="C610">
        <v>317398</v>
      </c>
      <c r="D610" t="s">
        <v>465</v>
      </c>
      <c r="E610">
        <v>265</v>
      </c>
    </row>
    <row r="611" spans="1:5" x14ac:dyDescent="0.25">
      <c r="A611" s="10">
        <v>44411</v>
      </c>
      <c r="B611">
        <v>304883</v>
      </c>
      <c r="C611" t="s">
        <v>236</v>
      </c>
      <c r="D611" t="s">
        <v>466</v>
      </c>
      <c r="E611">
        <v>324</v>
      </c>
    </row>
    <row r="612" spans="1:5" x14ac:dyDescent="0.25">
      <c r="A612" s="10">
        <v>44411</v>
      </c>
      <c r="B612">
        <v>304883</v>
      </c>
      <c r="C612" t="s">
        <v>145</v>
      </c>
      <c r="D612" t="s">
        <v>467</v>
      </c>
      <c r="E612">
        <v>332</v>
      </c>
    </row>
    <row r="613" spans="1:5" x14ac:dyDescent="0.25">
      <c r="A613" s="10">
        <v>44411</v>
      </c>
      <c r="B613">
        <v>304885</v>
      </c>
      <c r="C613" t="s">
        <v>211</v>
      </c>
      <c r="D613" t="s">
        <v>468</v>
      </c>
      <c r="E613">
        <v>336</v>
      </c>
    </row>
    <row r="614" spans="1:5" x14ac:dyDescent="0.25">
      <c r="A614" s="10">
        <v>44411</v>
      </c>
      <c r="B614">
        <v>304886</v>
      </c>
      <c r="C614">
        <v>405337</v>
      </c>
      <c r="D614" t="s">
        <v>469</v>
      </c>
      <c r="E614">
        <v>340</v>
      </c>
    </row>
    <row r="615" spans="1:5" x14ac:dyDescent="0.25">
      <c r="A615" s="10">
        <v>44411</v>
      </c>
      <c r="B615">
        <v>304881</v>
      </c>
      <c r="C615">
        <v>461887</v>
      </c>
      <c r="D615" t="s">
        <v>470</v>
      </c>
      <c r="E615">
        <v>344</v>
      </c>
    </row>
    <row r="616" spans="1:5" x14ac:dyDescent="0.25">
      <c r="A616" s="10">
        <v>44411</v>
      </c>
      <c r="B616">
        <v>304881</v>
      </c>
      <c r="C616">
        <v>415600</v>
      </c>
      <c r="D616" t="s">
        <v>471</v>
      </c>
      <c r="E616">
        <v>348</v>
      </c>
    </row>
    <row r="617" spans="1:5" x14ac:dyDescent="0.25">
      <c r="A617" s="10">
        <v>44411</v>
      </c>
      <c r="B617">
        <v>304881</v>
      </c>
      <c r="C617">
        <v>461885</v>
      </c>
      <c r="D617" t="s">
        <v>472</v>
      </c>
      <c r="E617">
        <v>352</v>
      </c>
    </row>
    <row r="618" spans="1:5" x14ac:dyDescent="0.25">
      <c r="A618" s="10">
        <v>44411</v>
      </c>
      <c r="B618">
        <v>304881</v>
      </c>
      <c r="C618">
        <v>434749</v>
      </c>
      <c r="D618" t="s">
        <v>473</v>
      </c>
      <c r="E618">
        <v>356</v>
      </c>
    </row>
    <row r="619" spans="1:5" x14ac:dyDescent="0.25">
      <c r="A619" s="10">
        <v>44411</v>
      </c>
      <c r="B619">
        <v>304881</v>
      </c>
      <c r="C619" t="s">
        <v>97</v>
      </c>
      <c r="D619" t="s">
        <v>474</v>
      </c>
      <c r="E619">
        <v>368</v>
      </c>
    </row>
    <row r="620" spans="1:5" x14ac:dyDescent="0.25">
      <c r="A620" s="10">
        <v>44411</v>
      </c>
      <c r="B620">
        <v>304882</v>
      </c>
      <c r="C620" t="s">
        <v>237</v>
      </c>
      <c r="D620" t="s">
        <v>475</v>
      </c>
      <c r="E620">
        <v>376</v>
      </c>
    </row>
    <row r="621" spans="1:5" x14ac:dyDescent="0.25">
      <c r="A621" s="10">
        <v>44411</v>
      </c>
      <c r="B621">
        <v>304883</v>
      </c>
      <c r="C621">
        <v>24223</v>
      </c>
      <c r="D621" t="s">
        <v>476</v>
      </c>
      <c r="E621">
        <v>319</v>
      </c>
    </row>
    <row r="622" spans="1:5" x14ac:dyDescent="0.25">
      <c r="A622" s="10">
        <v>44411</v>
      </c>
      <c r="B622">
        <v>304883</v>
      </c>
      <c r="C622">
        <v>432597</v>
      </c>
      <c r="D622" t="s">
        <v>477</v>
      </c>
      <c r="E622">
        <v>321</v>
      </c>
    </row>
    <row r="623" spans="1:5" x14ac:dyDescent="0.25">
      <c r="A623" s="10">
        <v>44411</v>
      </c>
      <c r="B623">
        <v>304883</v>
      </c>
      <c r="C623" t="s">
        <v>99</v>
      </c>
      <c r="D623" t="s">
        <v>478</v>
      </c>
      <c r="E623">
        <v>325</v>
      </c>
    </row>
    <row r="624" spans="1:5" x14ac:dyDescent="0.25">
      <c r="A624" s="10">
        <v>44411</v>
      </c>
      <c r="B624">
        <v>304883</v>
      </c>
      <c r="C624">
        <v>99443</v>
      </c>
      <c r="D624" t="s">
        <v>479</v>
      </c>
      <c r="E624">
        <v>333</v>
      </c>
    </row>
    <row r="625" spans="1:5" x14ac:dyDescent="0.25">
      <c r="A625" s="10">
        <v>44411</v>
      </c>
      <c r="B625">
        <v>304883</v>
      </c>
      <c r="C625" t="s">
        <v>238</v>
      </c>
      <c r="D625" t="s">
        <v>480</v>
      </c>
      <c r="E625">
        <v>337</v>
      </c>
    </row>
    <row r="626" spans="1:5" x14ac:dyDescent="0.25">
      <c r="A626" s="10">
        <v>44411</v>
      </c>
      <c r="B626">
        <v>304883</v>
      </c>
      <c r="C626">
        <v>432598</v>
      </c>
      <c r="D626" t="s">
        <v>481</v>
      </c>
      <c r="E626">
        <v>341</v>
      </c>
    </row>
    <row r="627" spans="1:5" x14ac:dyDescent="0.25">
      <c r="A627" s="10">
        <v>44411</v>
      </c>
      <c r="B627">
        <v>304885</v>
      </c>
      <c r="C627">
        <v>414479</v>
      </c>
      <c r="D627" t="s">
        <v>482</v>
      </c>
      <c r="E627">
        <v>349</v>
      </c>
    </row>
    <row r="628" spans="1:5" x14ac:dyDescent="0.25">
      <c r="A628" s="10">
        <v>44411</v>
      </c>
      <c r="B628">
        <v>304885</v>
      </c>
      <c r="C628">
        <v>87376</v>
      </c>
      <c r="D628" t="s">
        <v>483</v>
      </c>
      <c r="E628">
        <v>353</v>
      </c>
    </row>
    <row r="629" spans="1:5" x14ac:dyDescent="0.25">
      <c r="A629" s="10">
        <v>44411</v>
      </c>
      <c r="B629">
        <v>304885</v>
      </c>
      <c r="C629">
        <v>320665</v>
      </c>
      <c r="D629" t="s">
        <v>484</v>
      </c>
      <c r="E629">
        <v>357</v>
      </c>
    </row>
    <row r="630" spans="1:5" x14ac:dyDescent="0.25">
      <c r="A630" s="10">
        <v>44411</v>
      </c>
      <c r="B630">
        <v>304881</v>
      </c>
      <c r="C630">
        <v>461886</v>
      </c>
      <c r="D630" t="s">
        <v>485</v>
      </c>
      <c r="E630">
        <v>361</v>
      </c>
    </row>
    <row r="631" spans="1:5" x14ac:dyDescent="0.25">
      <c r="A631" s="10">
        <v>44411</v>
      </c>
      <c r="B631">
        <v>304881</v>
      </c>
      <c r="C631">
        <v>320763</v>
      </c>
      <c r="D631" t="s">
        <v>486</v>
      </c>
      <c r="E631">
        <v>365</v>
      </c>
    </row>
    <row r="632" spans="1:5" x14ac:dyDescent="0.25">
      <c r="A632" s="10">
        <v>44411</v>
      </c>
      <c r="B632">
        <v>304881</v>
      </c>
      <c r="C632" t="s">
        <v>113</v>
      </c>
      <c r="D632" t="s">
        <v>487</v>
      </c>
      <c r="E632">
        <v>369</v>
      </c>
    </row>
    <row r="633" spans="1:5" x14ac:dyDescent="0.25">
      <c r="A633" s="10">
        <v>44411</v>
      </c>
      <c r="B633">
        <v>304887</v>
      </c>
      <c r="C633">
        <v>203589</v>
      </c>
      <c r="D633" t="s">
        <v>488</v>
      </c>
      <c r="E633">
        <v>420</v>
      </c>
    </row>
    <row r="634" spans="1:5" x14ac:dyDescent="0.25">
      <c r="A634" s="10">
        <v>44411</v>
      </c>
      <c r="B634">
        <v>304883</v>
      </c>
      <c r="C634">
        <v>436436</v>
      </c>
      <c r="D634" t="s">
        <v>489</v>
      </c>
      <c r="E634">
        <v>436</v>
      </c>
    </row>
    <row r="635" spans="1:5" x14ac:dyDescent="0.25">
      <c r="A635" s="10">
        <v>44411</v>
      </c>
      <c r="B635">
        <v>304887</v>
      </c>
      <c r="C635">
        <v>325140</v>
      </c>
      <c r="D635" t="s">
        <v>490</v>
      </c>
      <c r="E635">
        <v>468</v>
      </c>
    </row>
    <row r="636" spans="1:5" x14ac:dyDescent="0.25">
      <c r="A636" s="10">
        <v>44411</v>
      </c>
      <c r="B636">
        <v>304884</v>
      </c>
      <c r="C636">
        <v>305177</v>
      </c>
      <c r="D636" t="s">
        <v>491</v>
      </c>
      <c r="E636">
        <v>419</v>
      </c>
    </row>
    <row r="637" spans="1:5" x14ac:dyDescent="0.25">
      <c r="A637" s="10">
        <v>44411</v>
      </c>
      <c r="B637">
        <v>304886</v>
      </c>
      <c r="C637">
        <v>14958</v>
      </c>
      <c r="D637" t="s">
        <v>492</v>
      </c>
      <c r="E637">
        <v>421</v>
      </c>
    </row>
    <row r="638" spans="1:5" x14ac:dyDescent="0.25">
      <c r="A638" s="10">
        <v>44411</v>
      </c>
      <c r="B638">
        <v>304881</v>
      </c>
      <c r="C638">
        <v>423423</v>
      </c>
      <c r="D638" t="s">
        <v>493</v>
      </c>
      <c r="E638">
        <v>423</v>
      </c>
    </row>
    <row r="639" spans="1:5" x14ac:dyDescent="0.25">
      <c r="A639" s="10">
        <v>44411</v>
      </c>
      <c r="B639">
        <v>304884</v>
      </c>
      <c r="C639" t="s">
        <v>143</v>
      </c>
      <c r="D639" t="s">
        <v>494</v>
      </c>
      <c r="E639">
        <v>522</v>
      </c>
    </row>
    <row r="640" spans="1:5" x14ac:dyDescent="0.25">
      <c r="A640" s="10">
        <v>44411</v>
      </c>
      <c r="B640">
        <v>304884</v>
      </c>
      <c r="C640">
        <v>524524</v>
      </c>
      <c r="D640" t="s">
        <v>495</v>
      </c>
      <c r="E640">
        <v>524</v>
      </c>
    </row>
    <row r="641" spans="1:5" x14ac:dyDescent="0.25">
      <c r="A641" s="10">
        <v>44411</v>
      </c>
      <c r="B641">
        <v>304884</v>
      </c>
      <c r="C641" t="s">
        <v>123</v>
      </c>
      <c r="D641" t="s">
        <v>496</v>
      </c>
      <c r="E641">
        <v>526</v>
      </c>
    </row>
    <row r="642" spans="1:5" x14ac:dyDescent="0.25">
      <c r="A642" s="10">
        <v>44411</v>
      </c>
      <c r="B642">
        <v>304887</v>
      </c>
      <c r="C642" t="s">
        <v>239</v>
      </c>
      <c r="D642" t="s">
        <v>497</v>
      </c>
      <c r="E642">
        <v>530</v>
      </c>
    </row>
    <row r="643" spans="1:5" x14ac:dyDescent="0.25">
      <c r="A643" s="10">
        <v>44411</v>
      </c>
      <c r="B643">
        <v>304881</v>
      </c>
      <c r="C643" t="s">
        <v>104</v>
      </c>
      <c r="D643" t="s">
        <v>498</v>
      </c>
      <c r="E643">
        <v>532</v>
      </c>
    </row>
    <row r="644" spans="1:5" x14ac:dyDescent="0.25">
      <c r="A644" s="10">
        <v>44411</v>
      </c>
      <c r="B644">
        <v>304881</v>
      </c>
      <c r="C644" t="s">
        <v>135</v>
      </c>
      <c r="D644" t="s">
        <v>499</v>
      </c>
      <c r="E644">
        <v>538</v>
      </c>
    </row>
    <row r="645" spans="1:5" x14ac:dyDescent="0.25">
      <c r="A645" s="10">
        <v>44411</v>
      </c>
      <c r="B645">
        <v>304886</v>
      </c>
      <c r="C645">
        <v>616616</v>
      </c>
      <c r="D645" t="s">
        <v>500</v>
      </c>
      <c r="E645">
        <v>616</v>
      </c>
    </row>
    <row r="646" spans="1:5" x14ac:dyDescent="0.25">
      <c r="A646" s="10">
        <v>44411</v>
      </c>
      <c r="B646">
        <v>304886</v>
      </c>
      <c r="C646" t="s">
        <v>177</v>
      </c>
      <c r="D646" t="s">
        <v>501</v>
      </c>
      <c r="E646">
        <v>654</v>
      </c>
    </row>
    <row r="647" spans="1:5" x14ac:dyDescent="0.25">
      <c r="A647" s="10">
        <v>44411</v>
      </c>
      <c r="B647">
        <v>304886</v>
      </c>
      <c r="C647" t="s">
        <v>185</v>
      </c>
      <c r="D647" t="s">
        <v>502</v>
      </c>
      <c r="E647">
        <v>656</v>
      </c>
    </row>
    <row r="648" spans="1:5" x14ac:dyDescent="0.25">
      <c r="A648" s="10">
        <v>44411</v>
      </c>
      <c r="B648">
        <v>304886</v>
      </c>
      <c r="C648">
        <v>660660</v>
      </c>
      <c r="D648" t="s">
        <v>503</v>
      </c>
      <c r="E648">
        <v>660</v>
      </c>
    </row>
    <row r="649" spans="1:5" x14ac:dyDescent="0.25">
      <c r="A649" s="10">
        <v>44411</v>
      </c>
      <c r="B649">
        <v>304886</v>
      </c>
      <c r="C649" t="s">
        <v>188</v>
      </c>
      <c r="D649" t="s">
        <v>504</v>
      </c>
      <c r="E649">
        <v>615</v>
      </c>
    </row>
    <row r="650" spans="1:5" x14ac:dyDescent="0.25">
      <c r="A650" s="10">
        <v>44411</v>
      </c>
      <c r="B650">
        <v>304914</v>
      </c>
      <c r="C650" t="s">
        <v>189</v>
      </c>
      <c r="D650" t="s">
        <v>505</v>
      </c>
      <c r="E650">
        <v>617</v>
      </c>
    </row>
    <row r="651" spans="1:5" x14ac:dyDescent="0.25">
      <c r="A651" s="10">
        <v>44412</v>
      </c>
      <c r="B651">
        <v>304988</v>
      </c>
      <c r="C651">
        <v>432600</v>
      </c>
      <c r="D651" t="s">
        <v>417</v>
      </c>
      <c r="E651">
        <v>124</v>
      </c>
    </row>
    <row r="652" spans="1:5" x14ac:dyDescent="0.25">
      <c r="A652" s="10">
        <v>44412</v>
      </c>
      <c r="B652">
        <v>304988</v>
      </c>
      <c r="C652">
        <v>432595</v>
      </c>
      <c r="D652" t="s">
        <v>418</v>
      </c>
      <c r="E652">
        <v>128</v>
      </c>
    </row>
    <row r="653" spans="1:5" x14ac:dyDescent="0.25">
      <c r="A653" s="10">
        <v>44412</v>
      </c>
      <c r="B653">
        <v>304886</v>
      </c>
      <c r="C653" t="s">
        <v>141</v>
      </c>
      <c r="D653" t="s">
        <v>419</v>
      </c>
      <c r="E653">
        <v>132</v>
      </c>
    </row>
    <row r="654" spans="1:5" x14ac:dyDescent="0.25">
      <c r="A654" s="10">
        <v>44412</v>
      </c>
      <c r="B654">
        <v>304988</v>
      </c>
      <c r="C654">
        <v>84334</v>
      </c>
      <c r="D654" t="s">
        <v>420</v>
      </c>
      <c r="E654">
        <v>136</v>
      </c>
    </row>
    <row r="655" spans="1:5" x14ac:dyDescent="0.25">
      <c r="A655" s="10">
        <v>44412</v>
      </c>
      <c r="B655">
        <v>304988</v>
      </c>
      <c r="C655">
        <v>463875</v>
      </c>
      <c r="D655" t="s">
        <v>421</v>
      </c>
      <c r="E655">
        <v>140</v>
      </c>
    </row>
    <row r="656" spans="1:5" x14ac:dyDescent="0.25">
      <c r="A656" s="10">
        <v>44412</v>
      </c>
      <c r="B656">
        <v>304887</v>
      </c>
      <c r="C656">
        <v>326234</v>
      </c>
      <c r="D656" t="s">
        <v>422</v>
      </c>
      <c r="E656">
        <v>144</v>
      </c>
    </row>
    <row r="657" spans="1:5" x14ac:dyDescent="0.25">
      <c r="A657" s="10">
        <v>44412</v>
      </c>
      <c r="B657">
        <v>304882</v>
      </c>
      <c r="C657" t="s">
        <v>224</v>
      </c>
      <c r="D657" t="s">
        <v>423</v>
      </c>
      <c r="E657">
        <v>148</v>
      </c>
    </row>
    <row r="658" spans="1:5" x14ac:dyDescent="0.25">
      <c r="A658" s="10">
        <v>44412</v>
      </c>
      <c r="B658">
        <v>304887</v>
      </c>
      <c r="C658">
        <v>411264</v>
      </c>
      <c r="D658" t="s">
        <v>424</v>
      </c>
      <c r="E658">
        <v>152</v>
      </c>
    </row>
    <row r="659" spans="1:5" x14ac:dyDescent="0.25">
      <c r="A659" s="10">
        <v>44412</v>
      </c>
      <c r="B659">
        <v>304887</v>
      </c>
      <c r="C659">
        <v>420522</v>
      </c>
      <c r="D659" t="s">
        <v>425</v>
      </c>
      <c r="E659">
        <v>156</v>
      </c>
    </row>
    <row r="660" spans="1:5" x14ac:dyDescent="0.25">
      <c r="A660" s="10">
        <v>44412</v>
      </c>
      <c r="B660">
        <v>304887</v>
      </c>
      <c r="C660">
        <v>431154</v>
      </c>
      <c r="D660" t="s">
        <v>426</v>
      </c>
      <c r="E660">
        <v>160</v>
      </c>
    </row>
    <row r="661" spans="1:5" x14ac:dyDescent="0.25">
      <c r="A661" s="10">
        <v>44412</v>
      </c>
      <c r="B661">
        <v>304887</v>
      </c>
      <c r="C661" t="s">
        <v>128</v>
      </c>
      <c r="D661" t="s">
        <v>427</v>
      </c>
      <c r="E661">
        <v>162</v>
      </c>
    </row>
    <row r="662" spans="1:5" x14ac:dyDescent="0.25">
      <c r="A662" s="10">
        <v>44412</v>
      </c>
      <c r="B662">
        <v>304887</v>
      </c>
      <c r="C662" t="s">
        <v>110</v>
      </c>
      <c r="D662" t="s">
        <v>428</v>
      </c>
      <c r="E662">
        <v>164</v>
      </c>
    </row>
    <row r="663" spans="1:5" x14ac:dyDescent="0.25">
      <c r="A663" s="10">
        <v>44412</v>
      </c>
      <c r="B663">
        <v>304887</v>
      </c>
      <c r="C663">
        <v>325140</v>
      </c>
      <c r="D663" t="s">
        <v>429</v>
      </c>
      <c r="E663">
        <v>117</v>
      </c>
    </row>
    <row r="664" spans="1:5" x14ac:dyDescent="0.25">
      <c r="A664" s="10">
        <v>44412</v>
      </c>
      <c r="B664">
        <v>304881</v>
      </c>
      <c r="C664">
        <v>434748</v>
      </c>
      <c r="D664" t="s">
        <v>430</v>
      </c>
      <c r="E664">
        <v>121</v>
      </c>
    </row>
    <row r="665" spans="1:5" x14ac:dyDescent="0.25">
      <c r="A665" s="10">
        <v>44412</v>
      </c>
      <c r="B665">
        <v>304881</v>
      </c>
      <c r="C665">
        <v>424959</v>
      </c>
      <c r="D665" t="s">
        <v>431</v>
      </c>
      <c r="E665">
        <v>125</v>
      </c>
    </row>
    <row r="666" spans="1:5" x14ac:dyDescent="0.25">
      <c r="A666" s="10">
        <v>44412</v>
      </c>
      <c r="B666">
        <v>304887</v>
      </c>
      <c r="C666">
        <v>461696</v>
      </c>
      <c r="D666" t="s">
        <v>432</v>
      </c>
      <c r="E666">
        <v>129</v>
      </c>
    </row>
    <row r="667" spans="1:5" x14ac:dyDescent="0.25">
      <c r="A667" s="10">
        <v>44412</v>
      </c>
      <c r="B667">
        <v>304882</v>
      </c>
      <c r="C667">
        <v>316421</v>
      </c>
      <c r="D667" t="s">
        <v>433</v>
      </c>
      <c r="E667">
        <v>133</v>
      </c>
    </row>
    <row r="668" spans="1:5" x14ac:dyDescent="0.25">
      <c r="A668" s="10">
        <v>44412</v>
      </c>
      <c r="B668">
        <v>304881</v>
      </c>
      <c r="C668">
        <v>404394</v>
      </c>
      <c r="D668" t="s">
        <v>434</v>
      </c>
      <c r="E668">
        <v>137</v>
      </c>
    </row>
    <row r="669" spans="1:5" x14ac:dyDescent="0.25">
      <c r="A669" s="10">
        <v>44412</v>
      </c>
      <c r="B669">
        <v>304887</v>
      </c>
      <c r="C669">
        <v>409256</v>
      </c>
      <c r="D669" t="s">
        <v>435</v>
      </c>
      <c r="E669">
        <v>141</v>
      </c>
    </row>
    <row r="670" spans="1:5" x14ac:dyDescent="0.25">
      <c r="A670" s="10">
        <v>44412</v>
      </c>
      <c r="B670">
        <v>304882</v>
      </c>
      <c r="C670">
        <v>400398</v>
      </c>
      <c r="D670" t="s">
        <v>436</v>
      </c>
      <c r="E670">
        <v>145</v>
      </c>
    </row>
    <row r="671" spans="1:5" x14ac:dyDescent="0.25">
      <c r="A671" s="10">
        <v>44412</v>
      </c>
      <c r="B671">
        <v>304887</v>
      </c>
      <c r="C671">
        <v>404439</v>
      </c>
      <c r="D671" t="s">
        <v>437</v>
      </c>
      <c r="E671">
        <v>149</v>
      </c>
    </row>
    <row r="672" spans="1:5" x14ac:dyDescent="0.25">
      <c r="A672" s="10">
        <v>44412</v>
      </c>
      <c r="B672">
        <v>304887</v>
      </c>
      <c r="C672">
        <v>417490</v>
      </c>
      <c r="D672" t="s">
        <v>438</v>
      </c>
      <c r="E672">
        <v>153</v>
      </c>
    </row>
    <row r="673" spans="1:5" x14ac:dyDescent="0.25">
      <c r="A673" s="10">
        <v>44412</v>
      </c>
      <c r="B673">
        <v>304887</v>
      </c>
      <c r="C673">
        <v>87502</v>
      </c>
      <c r="D673" t="s">
        <v>439</v>
      </c>
      <c r="E673">
        <v>157</v>
      </c>
    </row>
    <row r="674" spans="1:5" x14ac:dyDescent="0.25">
      <c r="A674" s="10">
        <v>44412</v>
      </c>
      <c r="B674">
        <v>304887</v>
      </c>
      <c r="C674">
        <v>431085</v>
      </c>
      <c r="D674" t="s">
        <v>440</v>
      </c>
      <c r="E674">
        <v>161</v>
      </c>
    </row>
    <row r="675" spans="1:5" x14ac:dyDescent="0.25">
      <c r="A675" s="10">
        <v>44412</v>
      </c>
      <c r="B675">
        <v>304882</v>
      </c>
      <c r="C675">
        <v>320300</v>
      </c>
      <c r="D675" t="s">
        <v>441</v>
      </c>
      <c r="E675">
        <v>165</v>
      </c>
    </row>
    <row r="676" spans="1:5" x14ac:dyDescent="0.25">
      <c r="A676" s="10">
        <v>44412</v>
      </c>
      <c r="B676">
        <v>304882</v>
      </c>
      <c r="C676">
        <v>169169</v>
      </c>
      <c r="D676" t="s">
        <v>442</v>
      </c>
      <c r="E676">
        <v>169</v>
      </c>
    </row>
    <row r="677" spans="1:5" x14ac:dyDescent="0.25">
      <c r="A677" s="10">
        <v>44412</v>
      </c>
      <c r="B677">
        <v>304914</v>
      </c>
      <c r="C677">
        <v>425044</v>
      </c>
      <c r="D677" t="s">
        <v>443</v>
      </c>
      <c r="E677">
        <v>224</v>
      </c>
    </row>
    <row r="678" spans="1:5" x14ac:dyDescent="0.25">
      <c r="A678" s="10">
        <v>44412</v>
      </c>
      <c r="B678">
        <v>304914</v>
      </c>
      <c r="C678">
        <v>425045</v>
      </c>
      <c r="D678" t="s">
        <v>444</v>
      </c>
      <c r="E678">
        <v>228</v>
      </c>
    </row>
    <row r="679" spans="1:5" x14ac:dyDescent="0.25">
      <c r="A679" s="10">
        <v>44412</v>
      </c>
      <c r="B679">
        <v>304914</v>
      </c>
      <c r="C679" t="s">
        <v>92</v>
      </c>
      <c r="D679" t="s">
        <v>445</v>
      </c>
      <c r="E679">
        <v>232</v>
      </c>
    </row>
    <row r="680" spans="1:5" x14ac:dyDescent="0.25">
      <c r="A680" s="10">
        <v>44412</v>
      </c>
      <c r="B680">
        <v>304914</v>
      </c>
      <c r="C680">
        <v>421733</v>
      </c>
      <c r="D680" t="s">
        <v>446</v>
      </c>
      <c r="E680">
        <v>236</v>
      </c>
    </row>
    <row r="681" spans="1:5" x14ac:dyDescent="0.25">
      <c r="A681" s="10">
        <v>44412</v>
      </c>
      <c r="B681">
        <v>304914</v>
      </c>
      <c r="C681">
        <v>421730</v>
      </c>
      <c r="D681" t="s">
        <v>447</v>
      </c>
      <c r="E681">
        <v>240</v>
      </c>
    </row>
    <row r="682" spans="1:5" x14ac:dyDescent="0.25">
      <c r="A682" s="10">
        <v>44412</v>
      </c>
      <c r="B682">
        <v>304914</v>
      </c>
      <c r="C682">
        <v>425046</v>
      </c>
      <c r="D682" t="s">
        <v>448</v>
      </c>
      <c r="E682">
        <v>244</v>
      </c>
    </row>
    <row r="683" spans="1:5" x14ac:dyDescent="0.25">
      <c r="A683" s="10">
        <v>44412</v>
      </c>
      <c r="B683">
        <v>304914</v>
      </c>
      <c r="C683">
        <v>439935</v>
      </c>
      <c r="D683" t="s">
        <v>449</v>
      </c>
      <c r="E683">
        <v>248</v>
      </c>
    </row>
    <row r="684" spans="1:5" x14ac:dyDescent="0.25">
      <c r="A684" s="10">
        <v>44412</v>
      </c>
      <c r="B684">
        <v>304914</v>
      </c>
      <c r="C684" t="s">
        <v>93</v>
      </c>
      <c r="D684" t="s">
        <v>450</v>
      </c>
      <c r="E684">
        <v>252</v>
      </c>
    </row>
    <row r="685" spans="1:5" x14ac:dyDescent="0.25">
      <c r="A685" s="10">
        <v>44412</v>
      </c>
      <c r="B685">
        <v>304885</v>
      </c>
      <c r="C685">
        <v>412667</v>
      </c>
      <c r="D685" t="s">
        <v>451</v>
      </c>
      <c r="E685">
        <v>256</v>
      </c>
    </row>
    <row r="686" spans="1:5" x14ac:dyDescent="0.25">
      <c r="A686" s="10">
        <v>44412</v>
      </c>
      <c r="B686">
        <v>304885</v>
      </c>
      <c r="C686">
        <v>412667</v>
      </c>
      <c r="D686" t="s">
        <v>452</v>
      </c>
      <c r="E686">
        <v>256</v>
      </c>
    </row>
    <row r="687" spans="1:5" x14ac:dyDescent="0.25">
      <c r="A687" s="10">
        <v>44412</v>
      </c>
      <c r="B687">
        <v>304885</v>
      </c>
      <c r="C687">
        <v>412667</v>
      </c>
      <c r="D687" t="s">
        <v>453</v>
      </c>
      <c r="E687">
        <v>256</v>
      </c>
    </row>
    <row r="688" spans="1:5" x14ac:dyDescent="0.25">
      <c r="A688" s="10">
        <v>44412</v>
      </c>
      <c r="B688">
        <v>304914</v>
      </c>
      <c r="C688" t="s">
        <v>94</v>
      </c>
      <c r="D688" t="s">
        <v>454</v>
      </c>
      <c r="E688">
        <v>260</v>
      </c>
    </row>
    <row r="689" spans="1:5" x14ac:dyDescent="0.25">
      <c r="A689" s="10">
        <v>44412</v>
      </c>
      <c r="B689">
        <v>304914</v>
      </c>
      <c r="C689" t="s">
        <v>241</v>
      </c>
      <c r="D689" t="s">
        <v>455</v>
      </c>
      <c r="E689">
        <v>262</v>
      </c>
    </row>
    <row r="690" spans="1:5" x14ac:dyDescent="0.25">
      <c r="A690" s="10">
        <v>44412</v>
      </c>
      <c r="B690">
        <v>304914</v>
      </c>
      <c r="C690" t="s">
        <v>124</v>
      </c>
      <c r="D690" t="s">
        <v>456</v>
      </c>
      <c r="E690">
        <v>264</v>
      </c>
    </row>
    <row r="691" spans="1:5" x14ac:dyDescent="0.25">
      <c r="A691" s="10">
        <v>44412</v>
      </c>
      <c r="B691">
        <v>304884</v>
      </c>
      <c r="C691">
        <v>99450</v>
      </c>
      <c r="D691" t="s">
        <v>457</v>
      </c>
      <c r="E691">
        <v>221</v>
      </c>
    </row>
    <row r="692" spans="1:5" x14ac:dyDescent="0.25">
      <c r="A692" s="10">
        <v>44412</v>
      </c>
      <c r="B692">
        <v>304884</v>
      </c>
      <c r="C692">
        <v>403441</v>
      </c>
      <c r="D692" t="s">
        <v>458</v>
      </c>
      <c r="E692">
        <v>225</v>
      </c>
    </row>
    <row r="693" spans="1:5" x14ac:dyDescent="0.25">
      <c r="A693" s="10">
        <v>44412</v>
      </c>
      <c r="B693">
        <v>304884</v>
      </c>
      <c r="C693">
        <v>86159</v>
      </c>
      <c r="D693" t="s">
        <v>459</v>
      </c>
      <c r="E693">
        <v>229</v>
      </c>
    </row>
    <row r="694" spans="1:5" x14ac:dyDescent="0.25">
      <c r="A694" s="10">
        <v>44412</v>
      </c>
      <c r="B694">
        <v>304988</v>
      </c>
      <c r="C694">
        <v>303354</v>
      </c>
      <c r="D694" t="s">
        <v>460</v>
      </c>
      <c r="E694">
        <v>233</v>
      </c>
    </row>
    <row r="695" spans="1:5" x14ac:dyDescent="0.25">
      <c r="A695" s="10">
        <v>44412</v>
      </c>
      <c r="B695">
        <v>304988</v>
      </c>
      <c r="C695">
        <v>85227</v>
      </c>
      <c r="D695" t="s">
        <v>461</v>
      </c>
      <c r="E695">
        <v>237</v>
      </c>
    </row>
    <row r="696" spans="1:5" x14ac:dyDescent="0.25">
      <c r="A696" s="10">
        <v>44412</v>
      </c>
      <c r="B696">
        <v>304884</v>
      </c>
      <c r="C696">
        <v>423185</v>
      </c>
      <c r="D696" t="s">
        <v>462</v>
      </c>
      <c r="E696">
        <v>241</v>
      </c>
    </row>
    <row r="697" spans="1:5" x14ac:dyDescent="0.25">
      <c r="A697" s="10">
        <v>44412</v>
      </c>
      <c r="B697">
        <v>304882</v>
      </c>
      <c r="C697">
        <v>316420</v>
      </c>
      <c r="D697" t="s">
        <v>463</v>
      </c>
      <c r="E697">
        <v>245</v>
      </c>
    </row>
    <row r="698" spans="1:5" x14ac:dyDescent="0.25">
      <c r="A698" s="10">
        <v>44412</v>
      </c>
      <c r="B698">
        <v>304884</v>
      </c>
      <c r="C698">
        <v>314246</v>
      </c>
      <c r="D698" t="s">
        <v>464</v>
      </c>
      <c r="E698">
        <v>249</v>
      </c>
    </row>
    <row r="699" spans="1:5" x14ac:dyDescent="0.25">
      <c r="A699" s="10">
        <v>44412</v>
      </c>
      <c r="B699">
        <v>304884</v>
      </c>
      <c r="C699" t="s">
        <v>242</v>
      </c>
      <c r="D699" t="s">
        <v>465</v>
      </c>
      <c r="E699">
        <v>253</v>
      </c>
    </row>
    <row r="700" spans="1:5" x14ac:dyDescent="0.25">
      <c r="A700" s="10">
        <v>44412</v>
      </c>
      <c r="B700">
        <v>304884</v>
      </c>
      <c r="C700">
        <v>412800</v>
      </c>
      <c r="D700" t="s">
        <v>466</v>
      </c>
      <c r="E700">
        <v>257</v>
      </c>
    </row>
    <row r="701" spans="1:5" x14ac:dyDescent="0.25">
      <c r="A701" s="10">
        <v>44412</v>
      </c>
      <c r="B701">
        <v>304884</v>
      </c>
      <c r="C701">
        <v>328267</v>
      </c>
      <c r="D701" t="s">
        <v>467</v>
      </c>
      <c r="E701">
        <v>261</v>
      </c>
    </row>
    <row r="702" spans="1:5" x14ac:dyDescent="0.25">
      <c r="A702" s="10">
        <v>44412</v>
      </c>
      <c r="B702">
        <v>304882</v>
      </c>
      <c r="C702">
        <v>317398</v>
      </c>
      <c r="D702" t="s">
        <v>468</v>
      </c>
      <c r="E702">
        <v>265</v>
      </c>
    </row>
    <row r="703" spans="1:5" x14ac:dyDescent="0.25">
      <c r="A703" s="10">
        <v>44412</v>
      </c>
      <c r="B703">
        <v>304883</v>
      </c>
      <c r="C703">
        <v>404328</v>
      </c>
      <c r="D703" t="s">
        <v>469</v>
      </c>
      <c r="E703">
        <v>324</v>
      </c>
    </row>
    <row r="704" spans="1:5" x14ac:dyDescent="0.25">
      <c r="A704" s="10">
        <v>44412</v>
      </c>
      <c r="B704">
        <v>304885</v>
      </c>
      <c r="C704">
        <v>86415</v>
      </c>
      <c r="D704" t="s">
        <v>470</v>
      </c>
      <c r="E704">
        <v>328</v>
      </c>
    </row>
    <row r="705" spans="1:5" x14ac:dyDescent="0.25">
      <c r="A705" s="10">
        <v>44412</v>
      </c>
      <c r="B705">
        <v>304883</v>
      </c>
      <c r="C705" t="s">
        <v>243</v>
      </c>
      <c r="D705" t="s">
        <v>471</v>
      </c>
      <c r="E705">
        <v>332</v>
      </c>
    </row>
    <row r="706" spans="1:5" x14ac:dyDescent="0.25">
      <c r="A706" s="10">
        <v>44412</v>
      </c>
      <c r="B706">
        <v>304883</v>
      </c>
      <c r="C706" t="s">
        <v>243</v>
      </c>
      <c r="D706" t="s">
        <v>472</v>
      </c>
      <c r="E706">
        <v>332</v>
      </c>
    </row>
    <row r="707" spans="1:5" x14ac:dyDescent="0.25">
      <c r="A707" s="10">
        <v>44412</v>
      </c>
      <c r="B707">
        <v>304883</v>
      </c>
      <c r="C707" t="s">
        <v>243</v>
      </c>
      <c r="D707" t="s">
        <v>473</v>
      </c>
      <c r="E707">
        <v>332</v>
      </c>
    </row>
    <row r="708" spans="1:5" x14ac:dyDescent="0.25">
      <c r="A708" s="10">
        <v>44412</v>
      </c>
      <c r="B708">
        <v>304883</v>
      </c>
      <c r="C708" t="s">
        <v>243</v>
      </c>
      <c r="D708" t="s">
        <v>474</v>
      </c>
      <c r="E708">
        <v>332</v>
      </c>
    </row>
    <row r="709" spans="1:5" x14ac:dyDescent="0.25">
      <c r="A709" s="10">
        <v>44412</v>
      </c>
      <c r="B709">
        <v>304885</v>
      </c>
      <c r="C709">
        <v>87377</v>
      </c>
      <c r="D709" t="s">
        <v>475</v>
      </c>
      <c r="E709">
        <v>336</v>
      </c>
    </row>
    <row r="710" spans="1:5" x14ac:dyDescent="0.25">
      <c r="A710" s="10">
        <v>44412</v>
      </c>
      <c r="B710">
        <v>304886</v>
      </c>
      <c r="C710">
        <v>405337</v>
      </c>
      <c r="D710" t="s">
        <v>476</v>
      </c>
      <c r="E710">
        <v>340</v>
      </c>
    </row>
    <row r="711" spans="1:5" x14ac:dyDescent="0.25">
      <c r="A711" s="10">
        <v>44412</v>
      </c>
      <c r="B711">
        <v>304881</v>
      </c>
      <c r="C711">
        <v>461887</v>
      </c>
      <c r="D711" t="s">
        <v>477</v>
      </c>
      <c r="E711">
        <v>344</v>
      </c>
    </row>
    <row r="712" spans="1:5" x14ac:dyDescent="0.25">
      <c r="A712" s="10">
        <v>44412</v>
      </c>
      <c r="B712">
        <v>304881</v>
      </c>
      <c r="C712" t="s">
        <v>244</v>
      </c>
      <c r="D712" t="s">
        <v>478</v>
      </c>
      <c r="E712">
        <v>348</v>
      </c>
    </row>
    <row r="713" spans="1:5" x14ac:dyDescent="0.25">
      <c r="A713" s="10">
        <v>44412</v>
      </c>
      <c r="B713">
        <v>304881</v>
      </c>
      <c r="C713">
        <v>461885</v>
      </c>
      <c r="D713" t="s">
        <v>479</v>
      </c>
      <c r="E713">
        <v>352</v>
      </c>
    </row>
    <row r="714" spans="1:5" x14ac:dyDescent="0.25">
      <c r="A714" s="10">
        <v>44412</v>
      </c>
      <c r="B714">
        <v>304881</v>
      </c>
      <c r="C714">
        <v>434749</v>
      </c>
      <c r="D714" t="s">
        <v>480</v>
      </c>
      <c r="E714">
        <v>356</v>
      </c>
    </row>
    <row r="715" spans="1:5" x14ac:dyDescent="0.25">
      <c r="A715" s="10">
        <v>44412</v>
      </c>
      <c r="B715">
        <v>304881</v>
      </c>
      <c r="C715">
        <v>362362</v>
      </c>
      <c r="D715" t="s">
        <v>481</v>
      </c>
      <c r="E715">
        <v>362</v>
      </c>
    </row>
    <row r="716" spans="1:5" x14ac:dyDescent="0.25">
      <c r="A716" s="10">
        <v>44412</v>
      </c>
      <c r="B716">
        <v>304881</v>
      </c>
      <c r="C716" t="s">
        <v>245</v>
      </c>
      <c r="D716" t="s">
        <v>482</v>
      </c>
      <c r="E716">
        <v>366</v>
      </c>
    </row>
    <row r="717" spans="1:5" x14ac:dyDescent="0.25">
      <c r="A717" s="10">
        <v>44412</v>
      </c>
      <c r="B717">
        <v>304881</v>
      </c>
      <c r="C717" t="s">
        <v>97</v>
      </c>
      <c r="D717" t="s">
        <v>483</v>
      </c>
      <c r="E717">
        <v>368</v>
      </c>
    </row>
    <row r="718" spans="1:5" x14ac:dyDescent="0.25">
      <c r="A718" s="10">
        <v>44412</v>
      </c>
      <c r="B718">
        <v>304885</v>
      </c>
      <c r="C718" t="s">
        <v>166</v>
      </c>
      <c r="D718" t="s">
        <v>484</v>
      </c>
      <c r="E718">
        <v>370</v>
      </c>
    </row>
    <row r="719" spans="1:5" x14ac:dyDescent="0.25">
      <c r="A719" s="10">
        <v>44412</v>
      </c>
      <c r="B719">
        <v>304882</v>
      </c>
      <c r="C719" t="s">
        <v>246</v>
      </c>
      <c r="D719" t="s">
        <v>485</v>
      </c>
      <c r="E719">
        <v>376</v>
      </c>
    </row>
    <row r="720" spans="1:5" x14ac:dyDescent="0.25">
      <c r="A720" s="10">
        <v>44412</v>
      </c>
      <c r="B720">
        <v>304883</v>
      </c>
      <c r="C720">
        <v>432597</v>
      </c>
      <c r="D720" t="s">
        <v>486</v>
      </c>
      <c r="E720">
        <v>321</v>
      </c>
    </row>
    <row r="721" spans="1:5" x14ac:dyDescent="0.25">
      <c r="A721" s="10">
        <v>44412</v>
      </c>
      <c r="B721">
        <v>304883</v>
      </c>
      <c r="C721">
        <v>325325</v>
      </c>
      <c r="D721" t="s">
        <v>487</v>
      </c>
      <c r="E721">
        <v>325</v>
      </c>
    </row>
    <row r="722" spans="1:5" x14ac:dyDescent="0.25">
      <c r="A722" s="10">
        <v>44412</v>
      </c>
      <c r="B722">
        <v>304883</v>
      </c>
      <c r="C722">
        <v>99443</v>
      </c>
      <c r="D722" t="s">
        <v>488</v>
      </c>
      <c r="E722">
        <v>333</v>
      </c>
    </row>
    <row r="723" spans="1:5" x14ac:dyDescent="0.25">
      <c r="A723" s="10">
        <v>44412</v>
      </c>
      <c r="B723">
        <v>304883</v>
      </c>
      <c r="C723">
        <v>310821</v>
      </c>
      <c r="D723" t="s">
        <v>489</v>
      </c>
      <c r="E723">
        <v>337</v>
      </c>
    </row>
    <row r="724" spans="1:5" x14ac:dyDescent="0.25">
      <c r="A724" s="10">
        <v>44412</v>
      </c>
      <c r="B724">
        <v>304883</v>
      </c>
      <c r="C724">
        <v>432598</v>
      </c>
      <c r="D724" t="s">
        <v>490</v>
      </c>
      <c r="E724">
        <v>341</v>
      </c>
    </row>
    <row r="725" spans="1:5" x14ac:dyDescent="0.25">
      <c r="A725" s="10">
        <v>44412</v>
      </c>
      <c r="B725">
        <v>304885</v>
      </c>
      <c r="C725">
        <v>402666</v>
      </c>
      <c r="D725" t="s">
        <v>491</v>
      </c>
      <c r="E725">
        <v>345</v>
      </c>
    </row>
    <row r="726" spans="1:5" x14ac:dyDescent="0.25">
      <c r="A726" s="10">
        <v>44412</v>
      </c>
      <c r="B726">
        <v>304885</v>
      </c>
      <c r="C726">
        <v>414479</v>
      </c>
      <c r="D726" t="s">
        <v>492</v>
      </c>
      <c r="E726">
        <v>349</v>
      </c>
    </row>
    <row r="727" spans="1:5" x14ac:dyDescent="0.25">
      <c r="A727" s="10">
        <v>44412</v>
      </c>
      <c r="B727">
        <v>304885</v>
      </c>
      <c r="C727">
        <v>87376</v>
      </c>
      <c r="D727" t="s">
        <v>493</v>
      </c>
      <c r="E727">
        <v>353</v>
      </c>
    </row>
    <row r="728" spans="1:5" x14ac:dyDescent="0.25">
      <c r="A728" s="10">
        <v>44412</v>
      </c>
      <c r="B728">
        <v>304885</v>
      </c>
      <c r="C728">
        <v>320665</v>
      </c>
      <c r="D728" t="s">
        <v>494</v>
      </c>
      <c r="E728">
        <v>357</v>
      </c>
    </row>
    <row r="729" spans="1:5" x14ac:dyDescent="0.25">
      <c r="A729" s="10">
        <v>44412</v>
      </c>
      <c r="B729">
        <v>304881</v>
      </c>
      <c r="C729">
        <v>461886</v>
      </c>
      <c r="D729" t="s">
        <v>495</v>
      </c>
      <c r="E729">
        <v>361</v>
      </c>
    </row>
    <row r="730" spans="1:5" x14ac:dyDescent="0.25">
      <c r="A730" s="10">
        <v>44412</v>
      </c>
      <c r="B730">
        <v>304881</v>
      </c>
      <c r="C730">
        <v>320763</v>
      </c>
      <c r="D730" t="s">
        <v>496</v>
      </c>
      <c r="E730">
        <v>365</v>
      </c>
    </row>
    <row r="731" spans="1:5" x14ac:dyDescent="0.25">
      <c r="A731" s="10">
        <v>44412</v>
      </c>
      <c r="B731">
        <v>304881</v>
      </c>
      <c r="C731" t="s">
        <v>113</v>
      </c>
      <c r="D731" t="s">
        <v>497</v>
      </c>
      <c r="E731">
        <v>369</v>
      </c>
    </row>
    <row r="732" spans="1:5" x14ac:dyDescent="0.25">
      <c r="A732" s="10">
        <v>44412</v>
      </c>
      <c r="B732">
        <v>304887</v>
      </c>
      <c r="C732">
        <v>203589</v>
      </c>
      <c r="D732" t="s">
        <v>498</v>
      </c>
      <c r="E732">
        <v>420</v>
      </c>
    </row>
    <row r="733" spans="1:5" x14ac:dyDescent="0.25">
      <c r="A733" s="10">
        <v>44412</v>
      </c>
      <c r="B733">
        <v>304883</v>
      </c>
      <c r="C733" t="s">
        <v>247</v>
      </c>
      <c r="D733" t="s">
        <v>499</v>
      </c>
      <c r="E733">
        <v>436</v>
      </c>
    </row>
    <row r="734" spans="1:5" x14ac:dyDescent="0.25">
      <c r="A734" s="10">
        <v>44412</v>
      </c>
      <c r="B734">
        <v>304988</v>
      </c>
      <c r="C734" t="s">
        <v>248</v>
      </c>
      <c r="D734" t="s">
        <v>500</v>
      </c>
      <c r="E734">
        <v>440</v>
      </c>
    </row>
    <row r="735" spans="1:5" x14ac:dyDescent="0.25">
      <c r="A735" s="10">
        <v>44412</v>
      </c>
      <c r="B735">
        <v>304887</v>
      </c>
      <c r="C735" t="s">
        <v>114</v>
      </c>
      <c r="D735" t="s">
        <v>501</v>
      </c>
      <c r="E735">
        <v>468</v>
      </c>
    </row>
    <row r="736" spans="1:5" x14ac:dyDescent="0.25">
      <c r="A736" s="10">
        <v>44412</v>
      </c>
      <c r="B736">
        <v>304887</v>
      </c>
      <c r="C736" t="s">
        <v>215</v>
      </c>
      <c r="D736" t="s">
        <v>502</v>
      </c>
      <c r="E736">
        <v>470</v>
      </c>
    </row>
    <row r="737" spans="1:5" x14ac:dyDescent="0.25">
      <c r="A737" s="10">
        <v>44412</v>
      </c>
      <c r="B737">
        <v>304884</v>
      </c>
      <c r="C737">
        <v>305177</v>
      </c>
      <c r="D737" t="s">
        <v>503</v>
      </c>
      <c r="E737">
        <v>419</v>
      </c>
    </row>
    <row r="738" spans="1:5" x14ac:dyDescent="0.25">
      <c r="A738" s="10">
        <v>44412</v>
      </c>
      <c r="B738">
        <v>304886</v>
      </c>
      <c r="C738">
        <v>14958</v>
      </c>
      <c r="D738" t="s">
        <v>504</v>
      </c>
      <c r="E738">
        <v>421</v>
      </c>
    </row>
    <row r="739" spans="1:5" x14ac:dyDescent="0.25">
      <c r="A739" s="10">
        <v>44412</v>
      </c>
      <c r="B739">
        <v>304881</v>
      </c>
      <c r="C739" t="s">
        <v>115</v>
      </c>
      <c r="D739" t="s">
        <v>505</v>
      </c>
      <c r="E739">
        <v>423</v>
      </c>
    </row>
    <row r="740" spans="1:5" x14ac:dyDescent="0.25">
      <c r="A740" s="10">
        <v>44412</v>
      </c>
      <c r="B740">
        <v>304883</v>
      </c>
      <c r="C740" t="s">
        <v>249</v>
      </c>
      <c r="D740" t="s">
        <v>506</v>
      </c>
      <c r="E740">
        <v>425</v>
      </c>
    </row>
    <row r="741" spans="1:5" x14ac:dyDescent="0.25">
      <c r="A741" s="10">
        <v>44412</v>
      </c>
      <c r="B741">
        <v>304884</v>
      </c>
      <c r="C741" t="s">
        <v>250</v>
      </c>
      <c r="D741" t="s">
        <v>507</v>
      </c>
      <c r="E741">
        <v>522</v>
      </c>
    </row>
    <row r="742" spans="1:5" x14ac:dyDescent="0.25">
      <c r="A742" s="10">
        <v>44412</v>
      </c>
      <c r="B742">
        <v>304884</v>
      </c>
      <c r="C742">
        <v>524524</v>
      </c>
      <c r="D742" t="s">
        <v>508</v>
      </c>
      <c r="E742">
        <v>524</v>
      </c>
    </row>
    <row r="743" spans="1:5" x14ac:dyDescent="0.25">
      <c r="A743" s="10">
        <v>44412</v>
      </c>
      <c r="B743">
        <v>304884</v>
      </c>
      <c r="C743" t="s">
        <v>136</v>
      </c>
      <c r="D743" t="s">
        <v>509</v>
      </c>
      <c r="E743">
        <v>526</v>
      </c>
    </row>
    <row r="744" spans="1:5" x14ac:dyDescent="0.25">
      <c r="A744" s="10">
        <v>44412</v>
      </c>
      <c r="B744">
        <v>304887</v>
      </c>
      <c r="C744" t="s">
        <v>251</v>
      </c>
      <c r="D744" t="s">
        <v>510</v>
      </c>
      <c r="E744">
        <v>530</v>
      </c>
    </row>
    <row r="745" spans="1:5" x14ac:dyDescent="0.25">
      <c r="A745" s="10">
        <v>44412</v>
      </c>
      <c r="B745">
        <v>304881</v>
      </c>
      <c r="C745" t="s">
        <v>104</v>
      </c>
      <c r="D745" t="s">
        <v>511</v>
      </c>
      <c r="E745">
        <v>532</v>
      </c>
    </row>
    <row r="746" spans="1:5" x14ac:dyDescent="0.25">
      <c r="A746" s="10">
        <v>44412</v>
      </c>
      <c r="B746">
        <v>304881</v>
      </c>
      <c r="C746" t="s">
        <v>135</v>
      </c>
      <c r="D746" t="s">
        <v>512</v>
      </c>
      <c r="E746">
        <v>538</v>
      </c>
    </row>
    <row r="747" spans="1:5" x14ac:dyDescent="0.25">
      <c r="A747" s="10">
        <v>44412</v>
      </c>
      <c r="B747">
        <v>304886</v>
      </c>
      <c r="C747" t="s">
        <v>106</v>
      </c>
      <c r="D747" t="s">
        <v>513</v>
      </c>
      <c r="E747">
        <v>616</v>
      </c>
    </row>
    <row r="748" spans="1:5" x14ac:dyDescent="0.25">
      <c r="A748" s="10">
        <v>44412</v>
      </c>
      <c r="B748">
        <v>304914</v>
      </c>
      <c r="C748" t="s">
        <v>148</v>
      </c>
      <c r="D748" t="s">
        <v>514</v>
      </c>
      <c r="E748">
        <v>640</v>
      </c>
    </row>
    <row r="749" spans="1:5" x14ac:dyDescent="0.25">
      <c r="A749" s="10">
        <v>44412</v>
      </c>
      <c r="B749">
        <v>304886</v>
      </c>
      <c r="C749" t="s">
        <v>109</v>
      </c>
      <c r="D749" t="s">
        <v>515</v>
      </c>
      <c r="E749">
        <v>654</v>
      </c>
    </row>
    <row r="750" spans="1:5" x14ac:dyDescent="0.25">
      <c r="A750" s="10">
        <v>44412</v>
      </c>
      <c r="B750">
        <v>304886</v>
      </c>
      <c r="C750" t="s">
        <v>121</v>
      </c>
      <c r="D750" t="s">
        <v>516</v>
      </c>
      <c r="E750">
        <v>656</v>
      </c>
    </row>
    <row r="751" spans="1:5" x14ac:dyDescent="0.25">
      <c r="A751" s="10">
        <v>44412</v>
      </c>
      <c r="B751">
        <v>304886</v>
      </c>
      <c r="C751" t="s">
        <v>117</v>
      </c>
      <c r="D751" t="s">
        <v>517</v>
      </c>
      <c r="E751">
        <v>660</v>
      </c>
    </row>
    <row r="752" spans="1:5" x14ac:dyDescent="0.25">
      <c r="A752" s="10">
        <v>44412</v>
      </c>
      <c r="B752">
        <v>304886</v>
      </c>
      <c r="C752">
        <v>87511</v>
      </c>
      <c r="D752" t="s">
        <v>518</v>
      </c>
      <c r="E752">
        <v>615</v>
      </c>
    </row>
    <row r="753" spans="1:5" x14ac:dyDescent="0.25">
      <c r="A753" s="10">
        <v>44412</v>
      </c>
      <c r="B753">
        <v>304914</v>
      </c>
      <c r="C753">
        <v>421736</v>
      </c>
      <c r="D753" t="s">
        <v>519</v>
      </c>
      <c r="E753">
        <v>617</v>
      </c>
    </row>
    <row r="754" spans="1:5" x14ac:dyDescent="0.25">
      <c r="A754" s="10">
        <v>44413</v>
      </c>
      <c r="B754">
        <v>304988</v>
      </c>
      <c r="C754">
        <v>432600</v>
      </c>
      <c r="D754" t="s">
        <v>417</v>
      </c>
      <c r="E754">
        <v>124</v>
      </c>
    </row>
    <row r="755" spans="1:5" x14ac:dyDescent="0.25">
      <c r="A755" s="10">
        <v>44413</v>
      </c>
      <c r="B755">
        <v>304988</v>
      </c>
      <c r="C755">
        <v>432595</v>
      </c>
      <c r="D755" t="s">
        <v>418</v>
      </c>
      <c r="E755">
        <v>128</v>
      </c>
    </row>
    <row r="756" spans="1:5" x14ac:dyDescent="0.25">
      <c r="A756" s="10">
        <v>44413</v>
      </c>
      <c r="B756">
        <v>304886</v>
      </c>
      <c r="C756" t="s">
        <v>141</v>
      </c>
      <c r="D756" t="s">
        <v>419</v>
      </c>
      <c r="E756">
        <v>132</v>
      </c>
    </row>
    <row r="757" spans="1:5" x14ac:dyDescent="0.25">
      <c r="A757" s="10">
        <v>44413</v>
      </c>
      <c r="B757">
        <v>304988</v>
      </c>
      <c r="C757">
        <v>84334</v>
      </c>
      <c r="D757" t="s">
        <v>420</v>
      </c>
      <c r="E757">
        <v>136</v>
      </c>
    </row>
    <row r="758" spans="1:5" x14ac:dyDescent="0.25">
      <c r="A758" s="10">
        <v>44413</v>
      </c>
      <c r="B758">
        <v>304988</v>
      </c>
      <c r="C758" t="s">
        <v>197</v>
      </c>
      <c r="D758" t="s">
        <v>421</v>
      </c>
      <c r="E758">
        <v>140</v>
      </c>
    </row>
    <row r="759" spans="1:5" x14ac:dyDescent="0.25">
      <c r="A759" s="10">
        <v>44413</v>
      </c>
      <c r="B759">
        <v>304887</v>
      </c>
      <c r="C759">
        <v>326234</v>
      </c>
      <c r="D759" t="s">
        <v>422</v>
      </c>
      <c r="E759">
        <v>144</v>
      </c>
    </row>
    <row r="760" spans="1:5" x14ac:dyDescent="0.25">
      <c r="A760" s="10">
        <v>44413</v>
      </c>
      <c r="B760">
        <v>304882</v>
      </c>
      <c r="C760" t="s">
        <v>224</v>
      </c>
      <c r="D760" t="s">
        <v>423</v>
      </c>
      <c r="E760">
        <v>148</v>
      </c>
    </row>
    <row r="761" spans="1:5" x14ac:dyDescent="0.25">
      <c r="A761" s="10">
        <v>44413</v>
      </c>
      <c r="B761">
        <v>304887</v>
      </c>
      <c r="C761">
        <v>411264</v>
      </c>
      <c r="D761" t="s">
        <v>424</v>
      </c>
      <c r="E761">
        <v>152</v>
      </c>
    </row>
    <row r="762" spans="1:5" x14ac:dyDescent="0.25">
      <c r="A762" s="10">
        <v>44413</v>
      </c>
      <c r="B762">
        <v>304887</v>
      </c>
      <c r="C762">
        <v>420522</v>
      </c>
      <c r="D762" t="s">
        <v>425</v>
      </c>
      <c r="E762">
        <v>156</v>
      </c>
    </row>
    <row r="763" spans="1:5" x14ac:dyDescent="0.25">
      <c r="A763" s="10">
        <v>44413</v>
      </c>
      <c r="B763">
        <v>304887</v>
      </c>
      <c r="C763">
        <v>431154</v>
      </c>
      <c r="D763" t="s">
        <v>426</v>
      </c>
      <c r="E763">
        <v>160</v>
      </c>
    </row>
    <row r="764" spans="1:5" x14ac:dyDescent="0.25">
      <c r="A764" s="10">
        <v>44413</v>
      </c>
      <c r="B764">
        <v>304887</v>
      </c>
      <c r="C764" t="s">
        <v>128</v>
      </c>
      <c r="D764" t="s">
        <v>427</v>
      </c>
      <c r="E764">
        <v>162</v>
      </c>
    </row>
    <row r="765" spans="1:5" x14ac:dyDescent="0.25">
      <c r="A765" s="10">
        <v>44413</v>
      </c>
      <c r="B765">
        <v>304887</v>
      </c>
      <c r="C765" t="s">
        <v>110</v>
      </c>
      <c r="D765" t="s">
        <v>428</v>
      </c>
      <c r="E765">
        <v>164</v>
      </c>
    </row>
    <row r="766" spans="1:5" x14ac:dyDescent="0.25">
      <c r="A766" s="10">
        <v>44413</v>
      </c>
      <c r="B766">
        <v>304881</v>
      </c>
      <c r="C766">
        <v>434748</v>
      </c>
      <c r="D766" t="s">
        <v>429</v>
      </c>
      <c r="E766">
        <v>121</v>
      </c>
    </row>
    <row r="767" spans="1:5" x14ac:dyDescent="0.25">
      <c r="A767" s="10">
        <v>44413</v>
      </c>
      <c r="B767">
        <v>304881</v>
      </c>
      <c r="C767">
        <v>424959</v>
      </c>
      <c r="D767" t="s">
        <v>430</v>
      </c>
      <c r="E767">
        <v>125</v>
      </c>
    </row>
    <row r="768" spans="1:5" x14ac:dyDescent="0.25">
      <c r="A768" s="10">
        <v>44413</v>
      </c>
      <c r="B768">
        <v>304887</v>
      </c>
      <c r="C768">
        <v>461696</v>
      </c>
      <c r="D768" t="s">
        <v>431</v>
      </c>
      <c r="E768">
        <v>129</v>
      </c>
    </row>
    <row r="769" spans="1:5" x14ac:dyDescent="0.25">
      <c r="A769" s="10">
        <v>44413</v>
      </c>
      <c r="B769">
        <v>304882</v>
      </c>
      <c r="C769">
        <v>316421</v>
      </c>
      <c r="D769" t="s">
        <v>432</v>
      </c>
      <c r="E769">
        <v>133</v>
      </c>
    </row>
    <row r="770" spans="1:5" x14ac:dyDescent="0.25">
      <c r="A770" s="10">
        <v>44413</v>
      </c>
      <c r="B770">
        <v>304881</v>
      </c>
      <c r="C770">
        <v>404394</v>
      </c>
      <c r="D770" t="s">
        <v>433</v>
      </c>
      <c r="E770">
        <v>137</v>
      </c>
    </row>
    <row r="771" spans="1:5" x14ac:dyDescent="0.25">
      <c r="A771" s="10">
        <v>44413</v>
      </c>
      <c r="B771">
        <v>304887</v>
      </c>
      <c r="C771">
        <v>409256</v>
      </c>
      <c r="D771" t="s">
        <v>434</v>
      </c>
      <c r="E771">
        <v>141</v>
      </c>
    </row>
    <row r="772" spans="1:5" x14ac:dyDescent="0.25">
      <c r="A772" s="10">
        <v>44413</v>
      </c>
      <c r="B772">
        <v>304882</v>
      </c>
      <c r="C772">
        <v>400398</v>
      </c>
      <c r="D772" t="s">
        <v>435</v>
      </c>
      <c r="E772">
        <v>145</v>
      </c>
    </row>
    <row r="773" spans="1:5" x14ac:dyDescent="0.25">
      <c r="A773" s="10">
        <v>44413</v>
      </c>
      <c r="B773">
        <v>304887</v>
      </c>
      <c r="C773">
        <v>404439</v>
      </c>
      <c r="D773" t="s">
        <v>436</v>
      </c>
      <c r="E773">
        <v>149</v>
      </c>
    </row>
    <row r="774" spans="1:5" x14ac:dyDescent="0.25">
      <c r="A774" s="10">
        <v>44413</v>
      </c>
      <c r="B774">
        <v>304887</v>
      </c>
      <c r="C774">
        <v>417490</v>
      </c>
      <c r="D774" t="s">
        <v>437</v>
      </c>
      <c r="E774">
        <v>153</v>
      </c>
    </row>
    <row r="775" spans="1:5" x14ac:dyDescent="0.25">
      <c r="A775" s="10">
        <v>44413</v>
      </c>
      <c r="B775">
        <v>304887</v>
      </c>
      <c r="C775">
        <v>87502</v>
      </c>
      <c r="D775" t="s">
        <v>438</v>
      </c>
      <c r="E775">
        <v>157</v>
      </c>
    </row>
    <row r="776" spans="1:5" x14ac:dyDescent="0.25">
      <c r="A776" s="10">
        <v>44413</v>
      </c>
      <c r="B776">
        <v>304887</v>
      </c>
      <c r="C776">
        <v>431085</v>
      </c>
      <c r="D776" t="s">
        <v>439</v>
      </c>
      <c r="E776">
        <v>161</v>
      </c>
    </row>
    <row r="777" spans="1:5" x14ac:dyDescent="0.25">
      <c r="A777" s="10">
        <v>44413</v>
      </c>
      <c r="B777">
        <v>304882</v>
      </c>
      <c r="C777">
        <v>320300</v>
      </c>
      <c r="D777" t="s">
        <v>440</v>
      </c>
      <c r="E777">
        <v>165</v>
      </c>
    </row>
    <row r="778" spans="1:5" x14ac:dyDescent="0.25">
      <c r="A778" s="10">
        <v>44413</v>
      </c>
      <c r="B778">
        <v>304882</v>
      </c>
      <c r="C778" t="s">
        <v>111</v>
      </c>
      <c r="D778" t="s">
        <v>441</v>
      </c>
      <c r="E778">
        <v>169</v>
      </c>
    </row>
    <row r="779" spans="1:5" x14ac:dyDescent="0.25">
      <c r="A779" s="10">
        <v>44413</v>
      </c>
      <c r="B779">
        <v>304914</v>
      </c>
      <c r="C779">
        <v>425044</v>
      </c>
      <c r="D779" t="s">
        <v>442</v>
      </c>
      <c r="E779">
        <v>224</v>
      </c>
    </row>
    <row r="780" spans="1:5" x14ac:dyDescent="0.25">
      <c r="A780" s="10">
        <v>44413</v>
      </c>
      <c r="B780">
        <v>304914</v>
      </c>
      <c r="C780">
        <v>425045</v>
      </c>
      <c r="D780" t="s">
        <v>443</v>
      </c>
      <c r="E780">
        <v>228</v>
      </c>
    </row>
    <row r="781" spans="1:5" x14ac:dyDescent="0.25">
      <c r="A781" s="10">
        <v>44413</v>
      </c>
      <c r="B781">
        <v>304914</v>
      </c>
      <c r="C781" t="s">
        <v>92</v>
      </c>
      <c r="D781" t="s">
        <v>444</v>
      </c>
      <c r="E781">
        <v>232</v>
      </c>
    </row>
    <row r="782" spans="1:5" x14ac:dyDescent="0.25">
      <c r="A782" s="10">
        <v>44413</v>
      </c>
      <c r="B782">
        <v>304914</v>
      </c>
      <c r="C782">
        <v>421733</v>
      </c>
      <c r="D782" t="s">
        <v>445</v>
      </c>
      <c r="E782">
        <v>236</v>
      </c>
    </row>
    <row r="783" spans="1:5" x14ac:dyDescent="0.25">
      <c r="A783" s="10">
        <v>44413</v>
      </c>
      <c r="B783">
        <v>304914</v>
      </c>
      <c r="C783">
        <v>421730</v>
      </c>
      <c r="D783" t="s">
        <v>446</v>
      </c>
      <c r="E783">
        <v>240</v>
      </c>
    </row>
    <row r="784" spans="1:5" x14ac:dyDescent="0.25">
      <c r="A784" s="10">
        <v>44413</v>
      </c>
      <c r="B784">
        <v>304914</v>
      </c>
      <c r="C784">
        <v>425046</v>
      </c>
      <c r="D784" t="s">
        <v>447</v>
      </c>
      <c r="E784">
        <v>244</v>
      </c>
    </row>
    <row r="785" spans="1:5" x14ac:dyDescent="0.25">
      <c r="A785" s="10">
        <v>44413</v>
      </c>
      <c r="B785">
        <v>304914</v>
      </c>
      <c r="C785" t="s">
        <v>157</v>
      </c>
      <c r="D785" t="s">
        <v>448</v>
      </c>
      <c r="E785">
        <v>248</v>
      </c>
    </row>
    <row r="786" spans="1:5" x14ac:dyDescent="0.25">
      <c r="A786" s="10">
        <v>44413</v>
      </c>
      <c r="B786">
        <v>304914</v>
      </c>
      <c r="C786" t="s">
        <v>93</v>
      </c>
      <c r="D786" t="s">
        <v>449</v>
      </c>
      <c r="E786">
        <v>252</v>
      </c>
    </row>
    <row r="787" spans="1:5" x14ac:dyDescent="0.25">
      <c r="A787" s="10">
        <v>44413</v>
      </c>
      <c r="B787">
        <v>304885</v>
      </c>
      <c r="C787" t="s">
        <v>142</v>
      </c>
      <c r="D787" t="s">
        <v>450</v>
      </c>
      <c r="E787">
        <v>256</v>
      </c>
    </row>
    <row r="788" spans="1:5" x14ac:dyDescent="0.25">
      <c r="A788" s="10">
        <v>44413</v>
      </c>
      <c r="B788">
        <v>304914</v>
      </c>
      <c r="C788" t="s">
        <v>94</v>
      </c>
      <c r="D788" t="s">
        <v>451</v>
      </c>
      <c r="E788">
        <v>260</v>
      </c>
    </row>
    <row r="789" spans="1:5" x14ac:dyDescent="0.25">
      <c r="A789" s="10">
        <v>44413</v>
      </c>
      <c r="B789">
        <v>304914</v>
      </c>
      <c r="C789">
        <v>262262</v>
      </c>
      <c r="D789" t="s">
        <v>452</v>
      </c>
      <c r="E789">
        <v>262</v>
      </c>
    </row>
    <row r="790" spans="1:5" x14ac:dyDescent="0.25">
      <c r="A790" s="10">
        <v>44413</v>
      </c>
      <c r="B790">
        <v>304914</v>
      </c>
      <c r="C790" t="s">
        <v>130</v>
      </c>
      <c r="D790" t="s">
        <v>453</v>
      </c>
      <c r="E790">
        <v>264</v>
      </c>
    </row>
    <row r="791" spans="1:5" x14ac:dyDescent="0.25">
      <c r="A791" s="10">
        <v>44413</v>
      </c>
      <c r="B791">
        <v>304914</v>
      </c>
      <c r="C791" t="s">
        <v>252</v>
      </c>
      <c r="D791" t="s">
        <v>454</v>
      </c>
      <c r="E791">
        <v>266</v>
      </c>
    </row>
    <row r="792" spans="1:5" x14ac:dyDescent="0.25">
      <c r="A792" s="10">
        <v>44413</v>
      </c>
      <c r="B792">
        <v>304884</v>
      </c>
      <c r="C792">
        <v>99450</v>
      </c>
      <c r="D792" t="s">
        <v>455</v>
      </c>
      <c r="E792">
        <v>221</v>
      </c>
    </row>
    <row r="793" spans="1:5" x14ac:dyDescent="0.25">
      <c r="A793" s="10">
        <v>44413</v>
      </c>
      <c r="B793">
        <v>304884</v>
      </c>
      <c r="C793">
        <v>403441</v>
      </c>
      <c r="D793" t="s">
        <v>456</v>
      </c>
      <c r="E793">
        <v>225</v>
      </c>
    </row>
    <row r="794" spans="1:5" x14ac:dyDescent="0.25">
      <c r="A794" s="10">
        <v>44413</v>
      </c>
      <c r="B794">
        <v>304884</v>
      </c>
      <c r="C794">
        <v>86159</v>
      </c>
      <c r="D794" t="s">
        <v>457</v>
      </c>
      <c r="E794">
        <v>229</v>
      </c>
    </row>
    <row r="795" spans="1:5" x14ac:dyDescent="0.25">
      <c r="A795" s="10">
        <v>44413</v>
      </c>
      <c r="B795">
        <v>304988</v>
      </c>
      <c r="C795">
        <v>303354</v>
      </c>
      <c r="D795" t="s">
        <v>458</v>
      </c>
      <c r="E795">
        <v>233</v>
      </c>
    </row>
    <row r="796" spans="1:5" x14ac:dyDescent="0.25">
      <c r="A796" s="10">
        <v>44413</v>
      </c>
      <c r="B796">
        <v>304988</v>
      </c>
      <c r="C796">
        <v>85227</v>
      </c>
      <c r="D796" t="s">
        <v>459</v>
      </c>
      <c r="E796">
        <v>237</v>
      </c>
    </row>
    <row r="797" spans="1:5" x14ac:dyDescent="0.25">
      <c r="A797" s="10">
        <v>44413</v>
      </c>
      <c r="B797">
        <v>304884</v>
      </c>
      <c r="C797">
        <v>423185</v>
      </c>
      <c r="D797" t="s">
        <v>460</v>
      </c>
      <c r="E797">
        <v>241</v>
      </c>
    </row>
    <row r="798" spans="1:5" x14ac:dyDescent="0.25">
      <c r="A798" s="10">
        <v>44413</v>
      </c>
      <c r="B798">
        <v>304882</v>
      </c>
      <c r="C798">
        <v>316420</v>
      </c>
      <c r="D798" t="s">
        <v>461</v>
      </c>
      <c r="E798">
        <v>245</v>
      </c>
    </row>
    <row r="799" spans="1:5" x14ac:dyDescent="0.25">
      <c r="A799" s="10">
        <v>44413</v>
      </c>
      <c r="B799">
        <v>304884</v>
      </c>
      <c r="C799">
        <v>314246</v>
      </c>
      <c r="D799" t="s">
        <v>462</v>
      </c>
      <c r="E799">
        <v>249</v>
      </c>
    </row>
    <row r="800" spans="1:5" x14ac:dyDescent="0.25">
      <c r="A800" s="10">
        <v>44413</v>
      </c>
      <c r="B800">
        <v>304884</v>
      </c>
      <c r="C800" t="s">
        <v>242</v>
      </c>
      <c r="D800" t="s">
        <v>463</v>
      </c>
      <c r="E800">
        <v>253</v>
      </c>
    </row>
    <row r="801" spans="1:5" x14ac:dyDescent="0.25">
      <c r="A801" s="10">
        <v>44413</v>
      </c>
      <c r="B801">
        <v>304884</v>
      </c>
      <c r="C801">
        <v>412800</v>
      </c>
      <c r="D801" t="s">
        <v>464</v>
      </c>
      <c r="E801">
        <v>257</v>
      </c>
    </row>
    <row r="802" spans="1:5" x14ac:dyDescent="0.25">
      <c r="A802" s="10">
        <v>44413</v>
      </c>
      <c r="B802">
        <v>304884</v>
      </c>
      <c r="C802">
        <v>328267</v>
      </c>
      <c r="D802" t="s">
        <v>465</v>
      </c>
      <c r="E802">
        <v>261</v>
      </c>
    </row>
    <row r="803" spans="1:5" x14ac:dyDescent="0.25">
      <c r="A803" s="10">
        <v>44413</v>
      </c>
      <c r="B803">
        <v>304882</v>
      </c>
      <c r="C803">
        <v>317398</v>
      </c>
      <c r="D803" t="s">
        <v>466</v>
      </c>
      <c r="E803">
        <v>265</v>
      </c>
    </row>
    <row r="804" spans="1:5" x14ac:dyDescent="0.25">
      <c r="A804" s="10">
        <v>44413</v>
      </c>
      <c r="B804">
        <v>304883</v>
      </c>
      <c r="C804" t="s">
        <v>149</v>
      </c>
      <c r="D804" t="s">
        <v>467</v>
      </c>
      <c r="E804">
        <v>324</v>
      </c>
    </row>
    <row r="805" spans="1:5" x14ac:dyDescent="0.25">
      <c r="A805" s="10">
        <v>44413</v>
      </c>
      <c r="B805">
        <v>304885</v>
      </c>
      <c r="C805">
        <v>86415</v>
      </c>
      <c r="D805" t="s">
        <v>468</v>
      </c>
      <c r="E805">
        <v>328</v>
      </c>
    </row>
    <row r="806" spans="1:5" x14ac:dyDescent="0.25">
      <c r="A806" s="10">
        <v>44413</v>
      </c>
      <c r="B806">
        <v>304883</v>
      </c>
      <c r="C806" t="s">
        <v>145</v>
      </c>
      <c r="D806" t="s">
        <v>469</v>
      </c>
      <c r="E806">
        <v>332</v>
      </c>
    </row>
    <row r="807" spans="1:5" x14ac:dyDescent="0.25">
      <c r="A807" s="10">
        <v>44413</v>
      </c>
      <c r="B807">
        <v>304885</v>
      </c>
      <c r="C807">
        <v>87377</v>
      </c>
      <c r="D807" t="s">
        <v>470</v>
      </c>
      <c r="E807">
        <v>336</v>
      </c>
    </row>
    <row r="808" spans="1:5" x14ac:dyDescent="0.25">
      <c r="A808" s="10">
        <v>44413</v>
      </c>
      <c r="B808">
        <v>304886</v>
      </c>
      <c r="C808">
        <v>405337</v>
      </c>
      <c r="D808" t="s">
        <v>471</v>
      </c>
      <c r="E808">
        <v>340</v>
      </c>
    </row>
    <row r="809" spans="1:5" x14ac:dyDescent="0.25">
      <c r="A809" s="10">
        <v>44413</v>
      </c>
      <c r="B809">
        <v>304881</v>
      </c>
      <c r="C809">
        <v>461887</v>
      </c>
      <c r="D809" t="s">
        <v>472</v>
      </c>
      <c r="E809">
        <v>344</v>
      </c>
    </row>
    <row r="810" spans="1:5" x14ac:dyDescent="0.25">
      <c r="A810" s="10">
        <v>44413</v>
      </c>
      <c r="B810">
        <v>304881</v>
      </c>
      <c r="C810">
        <v>415600</v>
      </c>
      <c r="D810" t="s">
        <v>473</v>
      </c>
      <c r="E810">
        <v>348</v>
      </c>
    </row>
    <row r="811" spans="1:5" x14ac:dyDescent="0.25">
      <c r="A811" s="10">
        <v>44413</v>
      </c>
      <c r="B811">
        <v>304881</v>
      </c>
      <c r="C811">
        <v>461885</v>
      </c>
      <c r="D811" t="s">
        <v>474</v>
      </c>
      <c r="E811">
        <v>352</v>
      </c>
    </row>
    <row r="812" spans="1:5" x14ac:dyDescent="0.25">
      <c r="A812" s="10">
        <v>44413</v>
      </c>
      <c r="B812">
        <v>304881</v>
      </c>
      <c r="C812">
        <v>434749</v>
      </c>
      <c r="D812" t="s">
        <v>475</v>
      </c>
      <c r="E812">
        <v>356</v>
      </c>
    </row>
    <row r="813" spans="1:5" x14ac:dyDescent="0.25">
      <c r="A813" s="10">
        <v>44413</v>
      </c>
      <c r="B813">
        <v>304881</v>
      </c>
      <c r="C813" t="s">
        <v>253</v>
      </c>
      <c r="D813" t="s">
        <v>476</v>
      </c>
      <c r="E813">
        <v>360</v>
      </c>
    </row>
    <row r="814" spans="1:5" x14ac:dyDescent="0.25">
      <c r="A814" s="10">
        <v>44413</v>
      </c>
      <c r="B814">
        <v>304881</v>
      </c>
      <c r="C814" t="s">
        <v>200</v>
      </c>
      <c r="D814" t="s">
        <v>477</v>
      </c>
      <c r="E814">
        <v>362</v>
      </c>
    </row>
    <row r="815" spans="1:5" x14ac:dyDescent="0.25">
      <c r="A815" s="10">
        <v>44413</v>
      </c>
      <c r="B815">
        <v>304881</v>
      </c>
      <c r="C815" t="s">
        <v>112</v>
      </c>
      <c r="D815" t="s">
        <v>478</v>
      </c>
      <c r="E815">
        <v>366</v>
      </c>
    </row>
    <row r="816" spans="1:5" x14ac:dyDescent="0.25">
      <c r="A816" s="10">
        <v>44413</v>
      </c>
      <c r="B816">
        <v>304881</v>
      </c>
      <c r="C816" t="s">
        <v>97</v>
      </c>
      <c r="D816" t="s">
        <v>479</v>
      </c>
      <c r="E816">
        <v>368</v>
      </c>
    </row>
    <row r="817" spans="1:5" x14ac:dyDescent="0.25">
      <c r="A817" s="10">
        <v>44413</v>
      </c>
      <c r="B817">
        <v>304885</v>
      </c>
      <c r="C817" t="s">
        <v>166</v>
      </c>
      <c r="D817" t="s">
        <v>480</v>
      </c>
      <c r="E817">
        <v>370</v>
      </c>
    </row>
    <row r="818" spans="1:5" x14ac:dyDescent="0.25">
      <c r="A818" s="10">
        <v>44413</v>
      </c>
      <c r="B818">
        <v>304882</v>
      </c>
      <c r="C818" t="s">
        <v>254</v>
      </c>
      <c r="D818" t="s">
        <v>481</v>
      </c>
      <c r="E818">
        <v>376</v>
      </c>
    </row>
    <row r="819" spans="1:5" x14ac:dyDescent="0.25">
      <c r="A819" s="10">
        <v>44413</v>
      </c>
      <c r="B819">
        <v>304883</v>
      </c>
      <c r="C819">
        <v>28223</v>
      </c>
      <c r="D819" t="s">
        <v>482</v>
      </c>
      <c r="E819">
        <v>319</v>
      </c>
    </row>
    <row r="820" spans="1:5" x14ac:dyDescent="0.25">
      <c r="A820" s="10">
        <v>44413</v>
      </c>
      <c r="B820">
        <v>304883</v>
      </c>
      <c r="C820">
        <v>432597</v>
      </c>
      <c r="D820" t="s">
        <v>483</v>
      </c>
      <c r="E820">
        <v>321</v>
      </c>
    </row>
    <row r="821" spans="1:5" x14ac:dyDescent="0.25">
      <c r="A821" s="10">
        <v>44413</v>
      </c>
      <c r="B821">
        <v>304883</v>
      </c>
      <c r="C821" t="s">
        <v>99</v>
      </c>
      <c r="D821" t="s">
        <v>484</v>
      </c>
      <c r="E821">
        <v>325</v>
      </c>
    </row>
    <row r="822" spans="1:5" x14ac:dyDescent="0.25">
      <c r="A822" s="10">
        <v>44413</v>
      </c>
      <c r="B822">
        <v>304883</v>
      </c>
      <c r="C822" t="s">
        <v>255</v>
      </c>
      <c r="D822" t="s">
        <v>485</v>
      </c>
      <c r="E822">
        <v>329</v>
      </c>
    </row>
    <row r="823" spans="1:5" x14ac:dyDescent="0.25">
      <c r="A823" s="10">
        <v>44413</v>
      </c>
      <c r="B823">
        <v>304883</v>
      </c>
      <c r="C823">
        <v>99443</v>
      </c>
      <c r="D823" t="s">
        <v>486</v>
      </c>
      <c r="E823">
        <v>333</v>
      </c>
    </row>
    <row r="824" spans="1:5" x14ac:dyDescent="0.25">
      <c r="A824" s="10">
        <v>44413</v>
      </c>
      <c r="B824">
        <v>304883</v>
      </c>
      <c r="C824" t="s">
        <v>256</v>
      </c>
      <c r="D824" t="s">
        <v>487</v>
      </c>
      <c r="E824">
        <v>337</v>
      </c>
    </row>
    <row r="825" spans="1:5" x14ac:dyDescent="0.25">
      <c r="A825" s="10">
        <v>44413</v>
      </c>
      <c r="B825">
        <v>304883</v>
      </c>
      <c r="C825">
        <v>432598</v>
      </c>
      <c r="D825" t="s">
        <v>488</v>
      </c>
      <c r="E825">
        <v>341</v>
      </c>
    </row>
    <row r="826" spans="1:5" x14ac:dyDescent="0.25">
      <c r="A826" s="10">
        <v>44413</v>
      </c>
      <c r="B826">
        <v>304885</v>
      </c>
      <c r="C826">
        <v>402666</v>
      </c>
      <c r="D826" t="s">
        <v>489</v>
      </c>
      <c r="E826">
        <v>345</v>
      </c>
    </row>
    <row r="827" spans="1:5" x14ac:dyDescent="0.25">
      <c r="A827" s="10">
        <v>44413</v>
      </c>
      <c r="B827">
        <v>304885</v>
      </c>
      <c r="C827" t="s">
        <v>146</v>
      </c>
      <c r="D827" t="s">
        <v>490</v>
      </c>
      <c r="E827">
        <v>349</v>
      </c>
    </row>
    <row r="828" spans="1:5" x14ac:dyDescent="0.25">
      <c r="A828" s="10">
        <v>44413</v>
      </c>
      <c r="B828">
        <v>304885</v>
      </c>
      <c r="C828">
        <v>87376</v>
      </c>
      <c r="D828" t="s">
        <v>491</v>
      </c>
      <c r="E828">
        <v>353</v>
      </c>
    </row>
    <row r="829" spans="1:5" x14ac:dyDescent="0.25">
      <c r="A829" s="10">
        <v>44413</v>
      </c>
      <c r="B829">
        <v>304885</v>
      </c>
      <c r="C829">
        <v>320665</v>
      </c>
      <c r="D829" t="s">
        <v>492</v>
      </c>
      <c r="E829">
        <v>357</v>
      </c>
    </row>
    <row r="830" spans="1:5" x14ac:dyDescent="0.25">
      <c r="A830" s="10">
        <v>44413</v>
      </c>
      <c r="B830">
        <v>304881</v>
      </c>
      <c r="C830">
        <v>461886</v>
      </c>
      <c r="D830" t="s">
        <v>493</v>
      </c>
      <c r="E830">
        <v>361</v>
      </c>
    </row>
    <row r="831" spans="1:5" x14ac:dyDescent="0.25">
      <c r="A831" s="10">
        <v>44413</v>
      </c>
      <c r="B831">
        <v>304881</v>
      </c>
      <c r="C831">
        <v>320763</v>
      </c>
      <c r="D831" t="s">
        <v>494</v>
      </c>
      <c r="E831">
        <v>365</v>
      </c>
    </row>
    <row r="832" spans="1:5" x14ac:dyDescent="0.25">
      <c r="A832" s="10">
        <v>44413</v>
      </c>
      <c r="B832">
        <v>304881</v>
      </c>
      <c r="C832" t="s">
        <v>113</v>
      </c>
      <c r="D832" t="s">
        <v>495</v>
      </c>
      <c r="E832">
        <v>369</v>
      </c>
    </row>
    <row r="833" spans="1:5" x14ac:dyDescent="0.25">
      <c r="A833" s="10">
        <v>44413</v>
      </c>
      <c r="B833">
        <v>304887</v>
      </c>
      <c r="C833">
        <v>203589</v>
      </c>
      <c r="D833" t="s">
        <v>496</v>
      </c>
      <c r="E833">
        <v>420</v>
      </c>
    </row>
    <row r="834" spans="1:5" x14ac:dyDescent="0.25">
      <c r="A834" s="10">
        <v>44413</v>
      </c>
      <c r="B834">
        <v>304883</v>
      </c>
      <c r="C834" t="s">
        <v>257</v>
      </c>
      <c r="D834" t="s">
        <v>497</v>
      </c>
      <c r="E834">
        <v>436</v>
      </c>
    </row>
    <row r="835" spans="1:5" x14ac:dyDescent="0.25">
      <c r="A835" s="10">
        <v>44413</v>
      </c>
      <c r="B835">
        <v>304988</v>
      </c>
      <c r="C835" t="s">
        <v>258</v>
      </c>
      <c r="D835" t="s">
        <v>498</v>
      </c>
      <c r="E835">
        <v>440</v>
      </c>
    </row>
    <row r="836" spans="1:5" x14ac:dyDescent="0.25">
      <c r="A836" s="10">
        <v>44413</v>
      </c>
      <c r="B836">
        <v>304887</v>
      </c>
      <c r="C836" t="s">
        <v>114</v>
      </c>
      <c r="D836" t="s">
        <v>499</v>
      </c>
      <c r="E836">
        <v>468</v>
      </c>
    </row>
    <row r="837" spans="1:5" x14ac:dyDescent="0.25">
      <c r="A837" s="10">
        <v>44413</v>
      </c>
      <c r="B837">
        <v>304887</v>
      </c>
      <c r="C837" t="s">
        <v>259</v>
      </c>
      <c r="D837" t="s">
        <v>500</v>
      </c>
      <c r="E837">
        <v>470</v>
      </c>
    </row>
    <row r="838" spans="1:5" x14ac:dyDescent="0.25">
      <c r="A838" s="10">
        <v>44413</v>
      </c>
      <c r="B838">
        <v>304882</v>
      </c>
      <c r="C838">
        <v>317397</v>
      </c>
      <c r="D838" t="s">
        <v>501</v>
      </c>
      <c r="E838">
        <v>472</v>
      </c>
    </row>
    <row r="839" spans="1:5" x14ac:dyDescent="0.25">
      <c r="A839" s="10">
        <v>44413</v>
      </c>
      <c r="B839">
        <v>304884</v>
      </c>
      <c r="C839">
        <v>305177</v>
      </c>
      <c r="D839" t="s">
        <v>502</v>
      </c>
      <c r="E839">
        <v>419</v>
      </c>
    </row>
    <row r="840" spans="1:5" x14ac:dyDescent="0.25">
      <c r="A840" s="10">
        <v>44413</v>
      </c>
      <c r="B840">
        <v>304886</v>
      </c>
      <c r="C840">
        <v>14958</v>
      </c>
      <c r="D840" t="s">
        <v>503</v>
      </c>
      <c r="E840">
        <v>421</v>
      </c>
    </row>
    <row r="841" spans="1:5" x14ac:dyDescent="0.25">
      <c r="A841" s="10">
        <v>44413</v>
      </c>
      <c r="B841">
        <v>304881</v>
      </c>
      <c r="C841" t="s">
        <v>115</v>
      </c>
      <c r="D841" t="s">
        <v>504</v>
      </c>
      <c r="E841">
        <v>423</v>
      </c>
    </row>
    <row r="842" spans="1:5" x14ac:dyDescent="0.25">
      <c r="A842" s="10">
        <v>44413</v>
      </c>
      <c r="B842">
        <v>304883</v>
      </c>
      <c r="C842" t="s">
        <v>100</v>
      </c>
      <c r="D842" t="s">
        <v>505</v>
      </c>
      <c r="E842">
        <v>425</v>
      </c>
    </row>
    <row r="843" spans="1:5" x14ac:dyDescent="0.25">
      <c r="A843" s="10">
        <v>44413</v>
      </c>
      <c r="B843">
        <v>304884</v>
      </c>
      <c r="C843" t="s">
        <v>101</v>
      </c>
      <c r="D843" t="s">
        <v>506</v>
      </c>
      <c r="E843">
        <v>520</v>
      </c>
    </row>
    <row r="844" spans="1:5" x14ac:dyDescent="0.25">
      <c r="A844" s="10">
        <v>44413</v>
      </c>
      <c r="B844">
        <v>304884</v>
      </c>
      <c r="C844" t="s">
        <v>250</v>
      </c>
      <c r="D844" t="s">
        <v>507</v>
      </c>
      <c r="E844">
        <v>522</v>
      </c>
    </row>
    <row r="845" spans="1:5" x14ac:dyDescent="0.25">
      <c r="A845" s="10">
        <v>44413</v>
      </c>
      <c r="B845">
        <v>304884</v>
      </c>
      <c r="C845">
        <v>524524</v>
      </c>
      <c r="D845" t="s">
        <v>508</v>
      </c>
      <c r="E845">
        <v>524</v>
      </c>
    </row>
    <row r="846" spans="1:5" x14ac:dyDescent="0.25">
      <c r="A846" s="10">
        <v>44413</v>
      </c>
      <c r="B846">
        <v>304884</v>
      </c>
      <c r="C846" t="s">
        <v>136</v>
      </c>
      <c r="D846" t="s">
        <v>509</v>
      </c>
      <c r="E846">
        <v>526</v>
      </c>
    </row>
    <row r="847" spans="1:5" x14ac:dyDescent="0.25">
      <c r="A847" s="10">
        <v>44413</v>
      </c>
      <c r="B847">
        <v>304887</v>
      </c>
      <c r="C847" t="s">
        <v>103</v>
      </c>
      <c r="D847" t="s">
        <v>510</v>
      </c>
      <c r="E847">
        <v>530</v>
      </c>
    </row>
    <row r="848" spans="1:5" x14ac:dyDescent="0.25">
      <c r="A848" s="10">
        <v>44413</v>
      </c>
      <c r="B848">
        <v>304881</v>
      </c>
      <c r="C848" t="s">
        <v>104</v>
      </c>
      <c r="D848" t="s">
        <v>511</v>
      </c>
      <c r="E848">
        <v>532</v>
      </c>
    </row>
    <row r="849" spans="1:5" x14ac:dyDescent="0.25">
      <c r="A849" s="10">
        <v>44413</v>
      </c>
      <c r="B849">
        <v>304881</v>
      </c>
      <c r="C849" t="s">
        <v>104</v>
      </c>
      <c r="D849" t="s">
        <v>512</v>
      </c>
      <c r="E849">
        <v>532</v>
      </c>
    </row>
    <row r="850" spans="1:5" x14ac:dyDescent="0.25">
      <c r="A850" s="10">
        <v>44413</v>
      </c>
      <c r="B850">
        <v>304881</v>
      </c>
      <c r="C850" t="s">
        <v>104</v>
      </c>
      <c r="D850" t="s">
        <v>513</v>
      </c>
      <c r="E850">
        <v>532</v>
      </c>
    </row>
    <row r="851" spans="1:5" x14ac:dyDescent="0.25">
      <c r="A851" s="10">
        <v>44413</v>
      </c>
      <c r="B851">
        <v>304881</v>
      </c>
      <c r="C851" t="s">
        <v>135</v>
      </c>
      <c r="D851" t="s">
        <v>514</v>
      </c>
      <c r="E851">
        <v>538</v>
      </c>
    </row>
    <row r="852" spans="1:5" x14ac:dyDescent="0.25">
      <c r="A852" s="10">
        <v>44413</v>
      </c>
      <c r="B852">
        <v>304886</v>
      </c>
      <c r="C852" t="s">
        <v>106</v>
      </c>
      <c r="D852" t="s">
        <v>515</v>
      </c>
      <c r="E852">
        <v>616</v>
      </c>
    </row>
    <row r="853" spans="1:5" x14ac:dyDescent="0.25">
      <c r="A853" s="10">
        <v>44413</v>
      </c>
      <c r="B853">
        <v>304914</v>
      </c>
      <c r="C853" t="s">
        <v>116</v>
      </c>
      <c r="D853" t="s">
        <v>516</v>
      </c>
      <c r="E853">
        <v>638</v>
      </c>
    </row>
    <row r="854" spans="1:5" x14ac:dyDescent="0.25">
      <c r="A854" s="10">
        <v>44413</v>
      </c>
      <c r="B854">
        <v>304914</v>
      </c>
      <c r="C854" t="s">
        <v>107</v>
      </c>
      <c r="D854" t="s">
        <v>517</v>
      </c>
      <c r="E854">
        <v>640</v>
      </c>
    </row>
    <row r="855" spans="1:5" x14ac:dyDescent="0.25">
      <c r="A855" s="10">
        <v>44413</v>
      </c>
      <c r="B855">
        <v>304885</v>
      </c>
      <c r="C855" t="s">
        <v>108</v>
      </c>
      <c r="D855" t="s">
        <v>518</v>
      </c>
      <c r="E855">
        <v>642</v>
      </c>
    </row>
    <row r="856" spans="1:5" x14ac:dyDescent="0.25">
      <c r="A856" s="10">
        <v>44413</v>
      </c>
      <c r="B856">
        <v>304886</v>
      </c>
      <c r="C856" t="s">
        <v>109</v>
      </c>
      <c r="D856" t="s">
        <v>519</v>
      </c>
      <c r="E856">
        <v>654</v>
      </c>
    </row>
    <row r="857" spans="1:5" x14ac:dyDescent="0.25">
      <c r="A857" s="10">
        <v>44413</v>
      </c>
      <c r="B857">
        <v>304886</v>
      </c>
      <c r="C857" t="s">
        <v>121</v>
      </c>
      <c r="D857" t="s">
        <v>520</v>
      </c>
      <c r="E857">
        <v>656</v>
      </c>
    </row>
    <row r="858" spans="1:5" x14ac:dyDescent="0.25">
      <c r="A858" s="10">
        <v>44413</v>
      </c>
      <c r="B858">
        <v>304886</v>
      </c>
      <c r="C858" t="s">
        <v>117</v>
      </c>
      <c r="D858" t="s">
        <v>521</v>
      </c>
      <c r="E858">
        <v>660</v>
      </c>
    </row>
    <row r="859" spans="1:5" x14ac:dyDescent="0.25">
      <c r="A859" s="10">
        <v>44413</v>
      </c>
      <c r="B859">
        <v>304886</v>
      </c>
      <c r="C859" t="s">
        <v>232</v>
      </c>
      <c r="D859" t="s">
        <v>522</v>
      </c>
      <c r="E859">
        <v>668</v>
      </c>
    </row>
    <row r="860" spans="1:5" x14ac:dyDescent="0.25">
      <c r="A860" s="10">
        <v>44413</v>
      </c>
      <c r="B860">
        <v>304886</v>
      </c>
      <c r="C860">
        <v>87511</v>
      </c>
      <c r="D860" t="s">
        <v>523</v>
      </c>
      <c r="E860">
        <v>615</v>
      </c>
    </row>
    <row r="861" spans="1:5" x14ac:dyDescent="0.25">
      <c r="A861" s="10">
        <v>44413</v>
      </c>
      <c r="B861">
        <v>304914</v>
      </c>
      <c r="C861">
        <v>421736</v>
      </c>
      <c r="D861" t="s">
        <v>524</v>
      </c>
      <c r="E861">
        <v>617</v>
      </c>
    </row>
    <row r="862" spans="1:5" x14ac:dyDescent="0.25">
      <c r="A862" s="10">
        <v>44413</v>
      </c>
      <c r="B862">
        <v>304881</v>
      </c>
      <c r="C862">
        <v>746405</v>
      </c>
      <c r="D862" t="s">
        <v>525</v>
      </c>
      <c r="E862">
        <v>655</v>
      </c>
    </row>
    <row r="863" spans="1:5" x14ac:dyDescent="0.25">
      <c r="A863" s="10">
        <v>44413</v>
      </c>
      <c r="B863">
        <v>304883</v>
      </c>
      <c r="C863">
        <v>801801</v>
      </c>
      <c r="D863" t="s">
        <v>526</v>
      </c>
      <c r="E863">
        <v>801</v>
      </c>
    </row>
    <row r="864" spans="1:5" x14ac:dyDescent="0.25">
      <c r="A864" s="10">
        <v>44413</v>
      </c>
      <c r="B864">
        <v>304883</v>
      </c>
      <c r="C864">
        <v>801801</v>
      </c>
      <c r="D864" t="s">
        <v>527</v>
      </c>
      <c r="E864">
        <v>801</v>
      </c>
    </row>
    <row r="865" spans="1:5" x14ac:dyDescent="0.25">
      <c r="A865" s="10">
        <v>44413</v>
      </c>
      <c r="B865">
        <v>304883</v>
      </c>
      <c r="C865">
        <v>801801</v>
      </c>
      <c r="D865" t="s">
        <v>528</v>
      </c>
      <c r="E865">
        <v>801</v>
      </c>
    </row>
    <row r="866" spans="1:5" x14ac:dyDescent="0.25">
      <c r="A866" s="10">
        <v>44414</v>
      </c>
      <c r="B866">
        <v>304988</v>
      </c>
      <c r="C866">
        <v>432600</v>
      </c>
      <c r="D866" t="s">
        <v>417</v>
      </c>
      <c r="E866">
        <v>124</v>
      </c>
    </row>
    <row r="867" spans="1:5" x14ac:dyDescent="0.25">
      <c r="A867" s="10">
        <v>44414</v>
      </c>
      <c r="B867">
        <v>304988</v>
      </c>
      <c r="C867">
        <v>432595</v>
      </c>
      <c r="D867" t="s">
        <v>418</v>
      </c>
      <c r="E867">
        <v>128</v>
      </c>
    </row>
    <row r="868" spans="1:5" x14ac:dyDescent="0.25">
      <c r="A868" s="10">
        <v>44414</v>
      </c>
      <c r="B868">
        <v>304886</v>
      </c>
      <c r="C868" t="s">
        <v>141</v>
      </c>
      <c r="D868" t="s">
        <v>419</v>
      </c>
      <c r="E868">
        <v>132</v>
      </c>
    </row>
    <row r="869" spans="1:5" x14ac:dyDescent="0.25">
      <c r="A869" s="10">
        <v>44414</v>
      </c>
      <c r="B869">
        <v>304988</v>
      </c>
      <c r="C869">
        <v>84334</v>
      </c>
      <c r="D869" t="s">
        <v>420</v>
      </c>
      <c r="E869">
        <v>136</v>
      </c>
    </row>
    <row r="870" spans="1:5" x14ac:dyDescent="0.25">
      <c r="A870" s="10">
        <v>44414</v>
      </c>
      <c r="B870">
        <v>304988</v>
      </c>
      <c r="C870" t="s">
        <v>197</v>
      </c>
      <c r="D870" t="s">
        <v>421</v>
      </c>
      <c r="E870">
        <v>140</v>
      </c>
    </row>
    <row r="871" spans="1:5" x14ac:dyDescent="0.25">
      <c r="A871" s="10">
        <v>44414</v>
      </c>
      <c r="B871">
        <v>304887</v>
      </c>
      <c r="C871">
        <v>326234</v>
      </c>
      <c r="D871" t="s">
        <v>422</v>
      </c>
      <c r="E871">
        <v>144</v>
      </c>
    </row>
    <row r="872" spans="1:5" x14ac:dyDescent="0.25">
      <c r="A872" s="10">
        <v>44414</v>
      </c>
      <c r="B872">
        <v>304882</v>
      </c>
      <c r="C872">
        <v>317397</v>
      </c>
      <c r="D872" t="s">
        <v>423</v>
      </c>
      <c r="E872">
        <v>148</v>
      </c>
    </row>
    <row r="873" spans="1:5" x14ac:dyDescent="0.25">
      <c r="A873" s="10">
        <v>44414</v>
      </c>
      <c r="B873">
        <v>304887</v>
      </c>
      <c r="C873">
        <v>411264</v>
      </c>
      <c r="D873" t="s">
        <v>424</v>
      </c>
      <c r="E873">
        <v>152</v>
      </c>
    </row>
    <row r="874" spans="1:5" x14ac:dyDescent="0.25">
      <c r="A874" s="10">
        <v>44414</v>
      </c>
      <c r="B874">
        <v>304887</v>
      </c>
      <c r="C874">
        <v>420522</v>
      </c>
      <c r="D874" t="s">
        <v>425</v>
      </c>
      <c r="E874">
        <v>156</v>
      </c>
    </row>
    <row r="875" spans="1:5" x14ac:dyDescent="0.25">
      <c r="A875" s="10">
        <v>44414</v>
      </c>
      <c r="B875">
        <v>304887</v>
      </c>
      <c r="C875">
        <v>431154</v>
      </c>
      <c r="D875" t="s">
        <v>426</v>
      </c>
      <c r="E875">
        <v>160</v>
      </c>
    </row>
    <row r="876" spans="1:5" x14ac:dyDescent="0.25">
      <c r="A876" s="10">
        <v>44414</v>
      </c>
      <c r="B876">
        <v>304887</v>
      </c>
      <c r="C876" t="s">
        <v>128</v>
      </c>
      <c r="D876" t="s">
        <v>427</v>
      </c>
      <c r="E876">
        <v>162</v>
      </c>
    </row>
    <row r="877" spans="1:5" x14ac:dyDescent="0.25">
      <c r="A877" s="10">
        <v>44414</v>
      </c>
      <c r="B877">
        <v>304887</v>
      </c>
      <c r="C877" t="s">
        <v>110</v>
      </c>
      <c r="D877" t="s">
        <v>428</v>
      </c>
      <c r="E877">
        <v>164</v>
      </c>
    </row>
    <row r="878" spans="1:5" x14ac:dyDescent="0.25">
      <c r="A878" s="10">
        <v>44414</v>
      </c>
      <c r="B878">
        <v>304881</v>
      </c>
      <c r="C878">
        <v>434748</v>
      </c>
      <c r="D878" t="s">
        <v>429</v>
      </c>
      <c r="E878">
        <v>121</v>
      </c>
    </row>
    <row r="879" spans="1:5" x14ac:dyDescent="0.25">
      <c r="A879" s="10">
        <v>44414</v>
      </c>
      <c r="B879">
        <v>304881</v>
      </c>
      <c r="C879">
        <v>424959</v>
      </c>
      <c r="D879" t="s">
        <v>430</v>
      </c>
      <c r="E879">
        <v>125</v>
      </c>
    </row>
    <row r="880" spans="1:5" x14ac:dyDescent="0.25">
      <c r="A880" s="10">
        <v>44414</v>
      </c>
      <c r="B880">
        <v>304887</v>
      </c>
      <c r="C880">
        <v>417342</v>
      </c>
      <c r="D880" t="s">
        <v>431</v>
      </c>
      <c r="E880">
        <v>129</v>
      </c>
    </row>
    <row r="881" spans="1:5" x14ac:dyDescent="0.25">
      <c r="A881" s="10">
        <v>44414</v>
      </c>
      <c r="B881">
        <v>304882</v>
      </c>
      <c r="C881" t="s">
        <v>264</v>
      </c>
      <c r="D881" t="s">
        <v>432</v>
      </c>
      <c r="E881">
        <v>133</v>
      </c>
    </row>
    <row r="882" spans="1:5" x14ac:dyDescent="0.25">
      <c r="A882" s="10">
        <v>44414</v>
      </c>
      <c r="B882">
        <v>304881</v>
      </c>
      <c r="C882">
        <v>404394</v>
      </c>
      <c r="D882" t="s">
        <v>433</v>
      </c>
      <c r="E882">
        <v>137</v>
      </c>
    </row>
    <row r="883" spans="1:5" x14ac:dyDescent="0.25">
      <c r="A883" s="10">
        <v>44414</v>
      </c>
      <c r="B883">
        <v>304887</v>
      </c>
      <c r="C883">
        <v>409256</v>
      </c>
      <c r="D883" t="s">
        <v>434</v>
      </c>
      <c r="E883">
        <v>141</v>
      </c>
    </row>
    <row r="884" spans="1:5" x14ac:dyDescent="0.25">
      <c r="A884" s="10">
        <v>44414</v>
      </c>
      <c r="B884">
        <v>304882</v>
      </c>
      <c r="C884">
        <v>400398</v>
      </c>
      <c r="D884" t="s">
        <v>435</v>
      </c>
      <c r="E884">
        <v>145</v>
      </c>
    </row>
    <row r="885" spans="1:5" x14ac:dyDescent="0.25">
      <c r="A885" s="10">
        <v>44414</v>
      </c>
      <c r="B885">
        <v>304887</v>
      </c>
      <c r="C885">
        <v>404439</v>
      </c>
      <c r="D885" t="s">
        <v>436</v>
      </c>
      <c r="E885">
        <v>149</v>
      </c>
    </row>
    <row r="886" spans="1:5" x14ac:dyDescent="0.25">
      <c r="A886" s="10">
        <v>44414</v>
      </c>
      <c r="B886">
        <v>304887</v>
      </c>
      <c r="C886">
        <v>417490</v>
      </c>
      <c r="D886" t="s">
        <v>437</v>
      </c>
      <c r="E886">
        <v>153</v>
      </c>
    </row>
    <row r="887" spans="1:5" x14ac:dyDescent="0.25">
      <c r="A887" s="10">
        <v>44414</v>
      </c>
      <c r="B887">
        <v>304887</v>
      </c>
      <c r="C887">
        <v>87502</v>
      </c>
      <c r="D887" t="s">
        <v>438</v>
      </c>
      <c r="E887">
        <v>157</v>
      </c>
    </row>
    <row r="888" spans="1:5" x14ac:dyDescent="0.25">
      <c r="A888" s="10">
        <v>44414</v>
      </c>
      <c r="B888">
        <v>304887</v>
      </c>
      <c r="C888">
        <v>431085</v>
      </c>
      <c r="D888" t="s">
        <v>439</v>
      </c>
      <c r="E888">
        <v>161</v>
      </c>
    </row>
    <row r="889" spans="1:5" x14ac:dyDescent="0.25">
      <c r="A889" s="10">
        <v>44414</v>
      </c>
      <c r="B889">
        <v>304882</v>
      </c>
      <c r="C889">
        <v>320300</v>
      </c>
      <c r="D889" t="s">
        <v>440</v>
      </c>
      <c r="E889">
        <v>165</v>
      </c>
    </row>
    <row r="890" spans="1:5" x14ac:dyDescent="0.25">
      <c r="A890" s="10">
        <v>44414</v>
      </c>
      <c r="B890">
        <v>304882</v>
      </c>
      <c r="C890" t="s">
        <v>111</v>
      </c>
      <c r="D890" t="s">
        <v>441</v>
      </c>
      <c r="E890">
        <v>169</v>
      </c>
    </row>
    <row r="891" spans="1:5" x14ac:dyDescent="0.25">
      <c r="A891" s="10">
        <v>44414</v>
      </c>
      <c r="B891">
        <v>304914</v>
      </c>
      <c r="C891">
        <v>425044</v>
      </c>
      <c r="D891" t="s">
        <v>442</v>
      </c>
      <c r="E891">
        <v>224</v>
      </c>
    </row>
    <row r="892" spans="1:5" x14ac:dyDescent="0.25">
      <c r="A892" s="10">
        <v>44414</v>
      </c>
      <c r="B892">
        <v>304914</v>
      </c>
      <c r="C892">
        <v>425045</v>
      </c>
      <c r="D892" t="s">
        <v>443</v>
      </c>
      <c r="E892">
        <v>228</v>
      </c>
    </row>
    <row r="893" spans="1:5" x14ac:dyDescent="0.25">
      <c r="A893" s="10">
        <v>44414</v>
      </c>
      <c r="B893">
        <v>304914</v>
      </c>
      <c r="C893" t="s">
        <v>92</v>
      </c>
      <c r="D893" t="s">
        <v>444</v>
      </c>
      <c r="E893">
        <v>232</v>
      </c>
    </row>
    <row r="894" spans="1:5" x14ac:dyDescent="0.25">
      <c r="A894" s="10">
        <v>44414</v>
      </c>
      <c r="B894">
        <v>304914</v>
      </c>
      <c r="C894">
        <v>421733</v>
      </c>
      <c r="D894" t="s">
        <v>445</v>
      </c>
      <c r="E894">
        <v>236</v>
      </c>
    </row>
    <row r="895" spans="1:5" x14ac:dyDescent="0.25">
      <c r="A895" s="10">
        <v>44414</v>
      </c>
      <c r="B895">
        <v>304914</v>
      </c>
      <c r="C895">
        <v>421730</v>
      </c>
      <c r="D895" t="s">
        <v>446</v>
      </c>
      <c r="E895">
        <v>240</v>
      </c>
    </row>
    <row r="896" spans="1:5" x14ac:dyDescent="0.25">
      <c r="A896" s="10">
        <v>44414</v>
      </c>
      <c r="B896">
        <v>304914</v>
      </c>
      <c r="C896">
        <v>425046</v>
      </c>
      <c r="D896" t="s">
        <v>447</v>
      </c>
      <c r="E896">
        <v>244</v>
      </c>
    </row>
    <row r="897" spans="1:5" x14ac:dyDescent="0.25">
      <c r="A897" s="10">
        <v>44414</v>
      </c>
      <c r="B897">
        <v>304914</v>
      </c>
      <c r="C897" t="s">
        <v>157</v>
      </c>
      <c r="D897" t="s">
        <v>448</v>
      </c>
      <c r="E897">
        <v>248</v>
      </c>
    </row>
    <row r="898" spans="1:5" x14ac:dyDescent="0.25">
      <c r="A898" s="10">
        <v>44414</v>
      </c>
      <c r="B898">
        <v>304914</v>
      </c>
      <c r="C898" t="s">
        <v>93</v>
      </c>
      <c r="D898" t="s">
        <v>449</v>
      </c>
      <c r="E898">
        <v>252</v>
      </c>
    </row>
    <row r="899" spans="1:5" x14ac:dyDescent="0.25">
      <c r="A899" s="10">
        <v>44414</v>
      </c>
      <c r="B899">
        <v>304885</v>
      </c>
      <c r="C899">
        <v>412667</v>
      </c>
      <c r="D899" t="s">
        <v>450</v>
      </c>
      <c r="E899">
        <v>256</v>
      </c>
    </row>
    <row r="900" spans="1:5" x14ac:dyDescent="0.25">
      <c r="A900" s="10">
        <v>44414</v>
      </c>
      <c r="B900">
        <v>304914</v>
      </c>
      <c r="C900" t="s">
        <v>94</v>
      </c>
      <c r="D900" t="s">
        <v>451</v>
      </c>
      <c r="E900">
        <v>260</v>
      </c>
    </row>
    <row r="901" spans="1:5" x14ac:dyDescent="0.25">
      <c r="A901" s="10">
        <v>44414</v>
      </c>
      <c r="B901">
        <v>304914</v>
      </c>
      <c r="C901">
        <v>262262</v>
      </c>
      <c r="D901" t="s">
        <v>452</v>
      </c>
      <c r="E901">
        <v>262</v>
      </c>
    </row>
    <row r="902" spans="1:5" x14ac:dyDescent="0.25">
      <c r="A902" s="10">
        <v>44414</v>
      </c>
      <c r="B902">
        <v>304914</v>
      </c>
      <c r="C902" t="s">
        <v>130</v>
      </c>
      <c r="D902" t="s">
        <v>453</v>
      </c>
      <c r="E902">
        <v>264</v>
      </c>
    </row>
    <row r="903" spans="1:5" x14ac:dyDescent="0.25">
      <c r="A903" s="10">
        <v>44414</v>
      </c>
      <c r="B903">
        <v>304914</v>
      </c>
      <c r="C903" t="s">
        <v>252</v>
      </c>
      <c r="D903" t="s">
        <v>454</v>
      </c>
      <c r="E903">
        <v>266</v>
      </c>
    </row>
    <row r="904" spans="1:5" x14ac:dyDescent="0.25">
      <c r="A904" s="10">
        <v>44414</v>
      </c>
      <c r="B904">
        <v>304884</v>
      </c>
      <c r="C904">
        <v>99450</v>
      </c>
      <c r="D904" t="s">
        <v>455</v>
      </c>
      <c r="E904">
        <v>221</v>
      </c>
    </row>
    <row r="905" spans="1:5" x14ac:dyDescent="0.25">
      <c r="A905" s="10">
        <v>44414</v>
      </c>
      <c r="B905">
        <v>304884</v>
      </c>
      <c r="C905">
        <v>403441</v>
      </c>
      <c r="D905" t="s">
        <v>456</v>
      </c>
      <c r="E905">
        <v>225</v>
      </c>
    </row>
    <row r="906" spans="1:5" x14ac:dyDescent="0.25">
      <c r="A906" s="10">
        <v>44414</v>
      </c>
      <c r="B906">
        <v>304884</v>
      </c>
      <c r="C906">
        <v>86159</v>
      </c>
      <c r="D906" t="s">
        <v>457</v>
      </c>
      <c r="E906">
        <v>229</v>
      </c>
    </row>
    <row r="907" spans="1:5" x14ac:dyDescent="0.25">
      <c r="A907" s="10">
        <v>44414</v>
      </c>
      <c r="B907">
        <v>304988</v>
      </c>
      <c r="C907">
        <v>303354</v>
      </c>
      <c r="D907" t="s">
        <v>458</v>
      </c>
      <c r="E907">
        <v>233</v>
      </c>
    </row>
    <row r="908" spans="1:5" x14ac:dyDescent="0.25">
      <c r="A908" s="10">
        <v>44414</v>
      </c>
      <c r="B908">
        <v>304988</v>
      </c>
      <c r="C908">
        <v>85227</v>
      </c>
      <c r="D908" t="s">
        <v>459</v>
      </c>
      <c r="E908">
        <v>237</v>
      </c>
    </row>
    <row r="909" spans="1:5" x14ac:dyDescent="0.25">
      <c r="A909" s="10">
        <v>44414</v>
      </c>
      <c r="B909">
        <v>304884</v>
      </c>
      <c r="C909">
        <v>423185</v>
      </c>
      <c r="D909" t="s">
        <v>460</v>
      </c>
      <c r="E909">
        <v>241</v>
      </c>
    </row>
    <row r="910" spans="1:5" x14ac:dyDescent="0.25">
      <c r="A910" s="10">
        <v>44414</v>
      </c>
      <c r="B910">
        <v>304882</v>
      </c>
      <c r="C910">
        <v>316420</v>
      </c>
      <c r="D910" t="s">
        <v>461</v>
      </c>
      <c r="E910">
        <v>245</v>
      </c>
    </row>
    <row r="911" spans="1:5" x14ac:dyDescent="0.25">
      <c r="A911" s="10">
        <v>44414</v>
      </c>
      <c r="B911">
        <v>304884</v>
      </c>
      <c r="C911">
        <v>314246</v>
      </c>
      <c r="D911" t="s">
        <v>462</v>
      </c>
      <c r="E911">
        <v>249</v>
      </c>
    </row>
    <row r="912" spans="1:5" x14ac:dyDescent="0.25">
      <c r="A912" s="10">
        <v>44414</v>
      </c>
      <c r="B912">
        <v>304884</v>
      </c>
      <c r="C912">
        <v>425293</v>
      </c>
      <c r="D912" t="s">
        <v>463</v>
      </c>
      <c r="E912">
        <v>253</v>
      </c>
    </row>
    <row r="913" spans="1:5" x14ac:dyDescent="0.25">
      <c r="A913" s="10">
        <v>44414</v>
      </c>
      <c r="B913">
        <v>304884</v>
      </c>
      <c r="C913">
        <v>412800</v>
      </c>
      <c r="D913" t="s">
        <v>464</v>
      </c>
      <c r="E913">
        <v>257</v>
      </c>
    </row>
    <row r="914" spans="1:5" x14ac:dyDescent="0.25">
      <c r="A914" s="10">
        <v>44414</v>
      </c>
      <c r="B914">
        <v>304884</v>
      </c>
      <c r="C914">
        <v>328267</v>
      </c>
      <c r="D914" t="s">
        <v>465</v>
      </c>
      <c r="E914">
        <v>261</v>
      </c>
    </row>
    <row r="915" spans="1:5" x14ac:dyDescent="0.25">
      <c r="A915" s="10">
        <v>44414</v>
      </c>
      <c r="B915">
        <v>304882</v>
      </c>
      <c r="C915">
        <v>317398</v>
      </c>
      <c r="D915" t="s">
        <v>466</v>
      </c>
      <c r="E915">
        <v>265</v>
      </c>
    </row>
    <row r="916" spans="1:5" x14ac:dyDescent="0.25">
      <c r="A916" s="10">
        <v>44414</v>
      </c>
      <c r="B916">
        <v>304883</v>
      </c>
      <c r="C916">
        <v>404328</v>
      </c>
      <c r="D916" t="s">
        <v>467</v>
      </c>
      <c r="E916">
        <v>324</v>
      </c>
    </row>
    <row r="917" spans="1:5" x14ac:dyDescent="0.25">
      <c r="A917" s="10">
        <v>44414</v>
      </c>
      <c r="B917">
        <v>304885</v>
      </c>
      <c r="C917">
        <v>86415</v>
      </c>
      <c r="D917" t="s">
        <v>468</v>
      </c>
      <c r="E917">
        <v>328</v>
      </c>
    </row>
    <row r="918" spans="1:5" x14ac:dyDescent="0.25">
      <c r="A918" s="10">
        <v>44414</v>
      </c>
      <c r="B918">
        <v>304883</v>
      </c>
      <c r="C918" t="s">
        <v>145</v>
      </c>
      <c r="D918" t="s">
        <v>469</v>
      </c>
      <c r="E918">
        <v>332</v>
      </c>
    </row>
    <row r="919" spans="1:5" x14ac:dyDescent="0.25">
      <c r="A919" s="10">
        <v>44414</v>
      </c>
      <c r="B919">
        <v>304885</v>
      </c>
      <c r="C919">
        <v>87377</v>
      </c>
      <c r="D919" t="s">
        <v>470</v>
      </c>
      <c r="E919">
        <v>336</v>
      </c>
    </row>
    <row r="920" spans="1:5" x14ac:dyDescent="0.25">
      <c r="A920" s="10">
        <v>44414</v>
      </c>
      <c r="B920">
        <v>304886</v>
      </c>
      <c r="C920">
        <v>405337</v>
      </c>
      <c r="D920" t="s">
        <v>471</v>
      </c>
      <c r="E920">
        <v>340</v>
      </c>
    </row>
    <row r="921" spans="1:5" x14ac:dyDescent="0.25">
      <c r="A921" s="10">
        <v>44414</v>
      </c>
      <c r="B921">
        <v>304881</v>
      </c>
      <c r="C921">
        <v>461887</v>
      </c>
      <c r="D921" t="s">
        <v>472</v>
      </c>
      <c r="E921">
        <v>344</v>
      </c>
    </row>
    <row r="922" spans="1:5" x14ac:dyDescent="0.25">
      <c r="A922" s="10">
        <v>44414</v>
      </c>
      <c r="B922">
        <v>304881</v>
      </c>
      <c r="C922">
        <v>415600</v>
      </c>
      <c r="D922" t="s">
        <v>473</v>
      </c>
      <c r="E922">
        <v>348</v>
      </c>
    </row>
    <row r="923" spans="1:5" x14ac:dyDescent="0.25">
      <c r="A923" s="10">
        <v>44414</v>
      </c>
      <c r="B923">
        <v>304881</v>
      </c>
      <c r="C923">
        <v>461885</v>
      </c>
      <c r="D923" t="s">
        <v>474</v>
      </c>
      <c r="E923">
        <v>352</v>
      </c>
    </row>
    <row r="924" spans="1:5" x14ac:dyDescent="0.25">
      <c r="A924" s="10">
        <v>44414</v>
      </c>
      <c r="B924">
        <v>304881</v>
      </c>
      <c r="C924">
        <v>434749</v>
      </c>
      <c r="D924" t="s">
        <v>475</v>
      </c>
      <c r="E924">
        <v>356</v>
      </c>
    </row>
    <row r="925" spans="1:5" x14ac:dyDescent="0.25">
      <c r="A925" s="10">
        <v>44414</v>
      </c>
      <c r="B925">
        <v>304881</v>
      </c>
      <c r="C925" t="s">
        <v>200</v>
      </c>
      <c r="D925" t="s">
        <v>476</v>
      </c>
      <c r="E925">
        <v>362</v>
      </c>
    </row>
    <row r="926" spans="1:5" x14ac:dyDescent="0.25">
      <c r="A926" s="10">
        <v>44414</v>
      </c>
      <c r="B926">
        <v>304881</v>
      </c>
      <c r="C926" t="s">
        <v>112</v>
      </c>
      <c r="D926" t="s">
        <v>477</v>
      </c>
      <c r="E926">
        <v>366</v>
      </c>
    </row>
    <row r="927" spans="1:5" x14ac:dyDescent="0.25">
      <c r="A927" s="10">
        <v>44414</v>
      </c>
      <c r="B927">
        <v>304881</v>
      </c>
      <c r="C927" t="s">
        <v>97</v>
      </c>
      <c r="D927" t="s">
        <v>478</v>
      </c>
      <c r="E927">
        <v>368</v>
      </c>
    </row>
    <row r="928" spans="1:5" x14ac:dyDescent="0.25">
      <c r="A928" s="10">
        <v>44414</v>
      </c>
      <c r="B928">
        <v>304885</v>
      </c>
      <c r="C928" t="s">
        <v>166</v>
      </c>
      <c r="D928" t="s">
        <v>479</v>
      </c>
      <c r="E928">
        <v>370</v>
      </c>
    </row>
    <row r="929" spans="1:5" x14ac:dyDescent="0.25">
      <c r="A929" s="10">
        <v>44414</v>
      </c>
      <c r="B929">
        <v>304882</v>
      </c>
      <c r="C929" t="s">
        <v>98</v>
      </c>
      <c r="D929" t="s">
        <v>480</v>
      </c>
      <c r="E929">
        <v>376</v>
      </c>
    </row>
    <row r="930" spans="1:5" x14ac:dyDescent="0.25">
      <c r="A930" s="10">
        <v>44414</v>
      </c>
      <c r="B930">
        <v>304883</v>
      </c>
      <c r="C930">
        <v>319319</v>
      </c>
      <c r="D930" t="s">
        <v>481</v>
      </c>
      <c r="E930">
        <v>319</v>
      </c>
    </row>
    <row r="931" spans="1:5" x14ac:dyDescent="0.25">
      <c r="A931" s="10">
        <v>44414</v>
      </c>
      <c r="B931">
        <v>304883</v>
      </c>
      <c r="C931">
        <v>432597</v>
      </c>
      <c r="D931" t="s">
        <v>482</v>
      </c>
      <c r="E931">
        <v>321</v>
      </c>
    </row>
    <row r="932" spans="1:5" x14ac:dyDescent="0.25">
      <c r="A932" s="10">
        <v>44414</v>
      </c>
      <c r="B932">
        <v>304883</v>
      </c>
      <c r="C932" t="s">
        <v>99</v>
      </c>
      <c r="D932" t="s">
        <v>483</v>
      </c>
      <c r="E932">
        <v>325</v>
      </c>
    </row>
    <row r="933" spans="1:5" x14ac:dyDescent="0.25">
      <c r="A933" s="10">
        <v>44414</v>
      </c>
      <c r="B933">
        <v>304883</v>
      </c>
      <c r="C933">
        <v>99443</v>
      </c>
      <c r="D933" t="s">
        <v>484</v>
      </c>
      <c r="E933">
        <v>333</v>
      </c>
    </row>
    <row r="934" spans="1:5" x14ac:dyDescent="0.25">
      <c r="A934" s="10">
        <v>44414</v>
      </c>
      <c r="B934">
        <v>304883</v>
      </c>
      <c r="C934" t="s">
        <v>256</v>
      </c>
      <c r="D934" t="s">
        <v>485</v>
      </c>
      <c r="E934">
        <v>337</v>
      </c>
    </row>
    <row r="935" spans="1:5" x14ac:dyDescent="0.25">
      <c r="A935" s="10">
        <v>44414</v>
      </c>
      <c r="B935">
        <v>304883</v>
      </c>
      <c r="C935">
        <v>432598</v>
      </c>
      <c r="D935" t="s">
        <v>486</v>
      </c>
      <c r="E935">
        <v>341</v>
      </c>
    </row>
    <row r="936" spans="1:5" x14ac:dyDescent="0.25">
      <c r="A936" s="10">
        <v>44414</v>
      </c>
      <c r="B936">
        <v>304885</v>
      </c>
      <c r="C936">
        <v>402666</v>
      </c>
      <c r="D936" t="s">
        <v>487</v>
      </c>
      <c r="E936">
        <v>345</v>
      </c>
    </row>
    <row r="937" spans="1:5" x14ac:dyDescent="0.25">
      <c r="A937" s="10">
        <v>44414</v>
      </c>
      <c r="B937">
        <v>304885</v>
      </c>
      <c r="C937">
        <v>414479</v>
      </c>
      <c r="D937" t="s">
        <v>488</v>
      </c>
      <c r="E937">
        <v>349</v>
      </c>
    </row>
    <row r="938" spans="1:5" x14ac:dyDescent="0.25">
      <c r="A938" s="10">
        <v>44414</v>
      </c>
      <c r="B938">
        <v>304885</v>
      </c>
      <c r="C938">
        <v>87376</v>
      </c>
      <c r="D938" t="s">
        <v>489</v>
      </c>
      <c r="E938">
        <v>353</v>
      </c>
    </row>
    <row r="939" spans="1:5" x14ac:dyDescent="0.25">
      <c r="A939" s="10">
        <v>44414</v>
      </c>
      <c r="B939">
        <v>304885</v>
      </c>
      <c r="C939">
        <v>320665</v>
      </c>
      <c r="D939" t="s">
        <v>490</v>
      </c>
      <c r="E939">
        <v>357</v>
      </c>
    </row>
    <row r="940" spans="1:5" x14ac:dyDescent="0.25">
      <c r="A940" s="10">
        <v>44414</v>
      </c>
      <c r="B940">
        <v>304881</v>
      </c>
      <c r="C940">
        <v>461886</v>
      </c>
      <c r="D940" t="s">
        <v>491</v>
      </c>
      <c r="E940">
        <v>361</v>
      </c>
    </row>
    <row r="941" spans="1:5" x14ac:dyDescent="0.25">
      <c r="A941" s="10">
        <v>44414</v>
      </c>
      <c r="B941">
        <v>304881</v>
      </c>
      <c r="C941">
        <v>320763</v>
      </c>
      <c r="D941" t="s">
        <v>492</v>
      </c>
      <c r="E941">
        <v>365</v>
      </c>
    </row>
    <row r="942" spans="1:5" x14ac:dyDescent="0.25">
      <c r="A942" s="10">
        <v>44414</v>
      </c>
      <c r="B942">
        <v>304881</v>
      </c>
      <c r="C942">
        <v>320763</v>
      </c>
      <c r="D942" t="s">
        <v>493</v>
      </c>
      <c r="E942">
        <v>365</v>
      </c>
    </row>
    <row r="943" spans="1:5" x14ac:dyDescent="0.25">
      <c r="A943" s="10">
        <v>44414</v>
      </c>
      <c r="B943">
        <v>304881</v>
      </c>
      <c r="C943">
        <v>320763</v>
      </c>
      <c r="D943" t="s">
        <v>494</v>
      </c>
      <c r="E943">
        <v>365</v>
      </c>
    </row>
    <row r="944" spans="1:5" x14ac:dyDescent="0.25">
      <c r="A944" s="10">
        <v>44414</v>
      </c>
      <c r="B944">
        <v>304881</v>
      </c>
      <c r="C944">
        <v>320763</v>
      </c>
      <c r="D944" t="s">
        <v>495</v>
      </c>
      <c r="E944">
        <v>365</v>
      </c>
    </row>
    <row r="945" spans="1:5" x14ac:dyDescent="0.25">
      <c r="A945" s="10">
        <v>44414</v>
      </c>
      <c r="B945">
        <v>304881</v>
      </c>
      <c r="C945" t="s">
        <v>113</v>
      </c>
      <c r="D945" t="s">
        <v>496</v>
      </c>
      <c r="E945">
        <v>369</v>
      </c>
    </row>
    <row r="946" spans="1:5" x14ac:dyDescent="0.25">
      <c r="A946" s="10">
        <v>44414</v>
      </c>
      <c r="B946">
        <v>304887</v>
      </c>
      <c r="C946">
        <v>203589</v>
      </c>
      <c r="D946" t="s">
        <v>497</v>
      </c>
      <c r="E946">
        <v>420</v>
      </c>
    </row>
    <row r="947" spans="1:5" x14ac:dyDescent="0.25">
      <c r="A947" s="10">
        <v>44414</v>
      </c>
      <c r="B947">
        <v>304883</v>
      </c>
      <c r="C947" t="s">
        <v>265</v>
      </c>
      <c r="D947" t="s">
        <v>498</v>
      </c>
      <c r="E947">
        <v>436</v>
      </c>
    </row>
    <row r="948" spans="1:5" x14ac:dyDescent="0.25">
      <c r="A948" s="10">
        <v>44414</v>
      </c>
      <c r="B948">
        <v>304988</v>
      </c>
      <c r="C948" t="s">
        <v>266</v>
      </c>
      <c r="D948" t="s">
        <v>499</v>
      </c>
      <c r="E948">
        <v>440</v>
      </c>
    </row>
    <row r="949" spans="1:5" x14ac:dyDescent="0.25">
      <c r="A949" s="10">
        <v>44414</v>
      </c>
      <c r="B949">
        <v>304887</v>
      </c>
      <c r="C949" t="s">
        <v>114</v>
      </c>
      <c r="D949" t="s">
        <v>500</v>
      </c>
      <c r="E949">
        <v>468</v>
      </c>
    </row>
    <row r="950" spans="1:5" x14ac:dyDescent="0.25">
      <c r="A950" s="10">
        <v>44414</v>
      </c>
      <c r="B950">
        <v>304887</v>
      </c>
      <c r="C950" t="s">
        <v>139</v>
      </c>
      <c r="D950" t="s">
        <v>501</v>
      </c>
      <c r="E950">
        <v>470</v>
      </c>
    </row>
    <row r="951" spans="1:5" x14ac:dyDescent="0.25">
      <c r="A951" s="10">
        <v>44414</v>
      </c>
      <c r="B951">
        <v>304887</v>
      </c>
      <c r="C951" t="s">
        <v>267</v>
      </c>
      <c r="D951" t="s">
        <v>502</v>
      </c>
      <c r="E951">
        <v>476</v>
      </c>
    </row>
    <row r="952" spans="1:5" x14ac:dyDescent="0.25">
      <c r="A952" s="10">
        <v>44414</v>
      </c>
      <c r="B952">
        <v>304887</v>
      </c>
      <c r="C952">
        <v>478478</v>
      </c>
      <c r="D952" t="s">
        <v>503</v>
      </c>
      <c r="E952">
        <v>478</v>
      </c>
    </row>
    <row r="953" spans="1:5" x14ac:dyDescent="0.25">
      <c r="A953" s="10">
        <v>44414</v>
      </c>
      <c r="B953">
        <v>304884</v>
      </c>
      <c r="C953">
        <v>305177</v>
      </c>
      <c r="D953" t="s">
        <v>504</v>
      </c>
      <c r="E953">
        <v>419</v>
      </c>
    </row>
    <row r="954" spans="1:5" x14ac:dyDescent="0.25">
      <c r="A954" s="10">
        <v>44414</v>
      </c>
      <c r="B954">
        <v>304886</v>
      </c>
      <c r="C954">
        <v>14958</v>
      </c>
      <c r="D954" t="s">
        <v>505</v>
      </c>
      <c r="E954">
        <v>421</v>
      </c>
    </row>
    <row r="955" spans="1:5" x14ac:dyDescent="0.25">
      <c r="A955" s="10">
        <v>44414</v>
      </c>
      <c r="B955">
        <v>304881</v>
      </c>
      <c r="C955" t="s">
        <v>115</v>
      </c>
      <c r="D955" t="s">
        <v>506</v>
      </c>
      <c r="E955">
        <v>423</v>
      </c>
    </row>
    <row r="956" spans="1:5" x14ac:dyDescent="0.25">
      <c r="A956" s="10">
        <v>44414</v>
      </c>
      <c r="B956">
        <v>304883</v>
      </c>
      <c r="C956" t="s">
        <v>100</v>
      </c>
      <c r="D956" t="s">
        <v>507</v>
      </c>
      <c r="E956">
        <v>425</v>
      </c>
    </row>
    <row r="957" spans="1:5" x14ac:dyDescent="0.25">
      <c r="A957" s="10">
        <v>44414</v>
      </c>
      <c r="B957">
        <v>304884</v>
      </c>
      <c r="C957" t="s">
        <v>101</v>
      </c>
      <c r="D957" t="s">
        <v>508</v>
      </c>
      <c r="E957">
        <v>520</v>
      </c>
    </row>
    <row r="958" spans="1:5" x14ac:dyDescent="0.25">
      <c r="A958" s="10">
        <v>44414</v>
      </c>
      <c r="B958">
        <v>304884</v>
      </c>
      <c r="C958" t="s">
        <v>147</v>
      </c>
      <c r="D958" t="s">
        <v>509</v>
      </c>
      <c r="E958">
        <v>522</v>
      </c>
    </row>
    <row r="959" spans="1:5" x14ac:dyDescent="0.25">
      <c r="A959" s="10">
        <v>44414</v>
      </c>
      <c r="B959">
        <v>304884</v>
      </c>
      <c r="C959">
        <v>524524</v>
      </c>
      <c r="D959" t="s">
        <v>510</v>
      </c>
      <c r="E959">
        <v>524</v>
      </c>
    </row>
    <row r="960" spans="1:5" x14ac:dyDescent="0.25">
      <c r="A960" s="10">
        <v>44414</v>
      </c>
      <c r="B960">
        <v>304884</v>
      </c>
      <c r="C960" t="s">
        <v>136</v>
      </c>
      <c r="D960" t="s">
        <v>511</v>
      </c>
      <c r="E960">
        <v>526</v>
      </c>
    </row>
    <row r="961" spans="1:5" x14ac:dyDescent="0.25">
      <c r="A961" s="10">
        <v>44414</v>
      </c>
      <c r="B961">
        <v>304887</v>
      </c>
      <c r="C961" t="s">
        <v>129</v>
      </c>
      <c r="D961" t="s">
        <v>512</v>
      </c>
      <c r="E961">
        <v>530</v>
      </c>
    </row>
    <row r="962" spans="1:5" x14ac:dyDescent="0.25">
      <c r="A962" s="10">
        <v>44414</v>
      </c>
      <c r="B962">
        <v>304881</v>
      </c>
      <c r="C962" t="s">
        <v>104</v>
      </c>
      <c r="D962" t="s">
        <v>513</v>
      </c>
      <c r="E962">
        <v>532</v>
      </c>
    </row>
    <row r="963" spans="1:5" x14ac:dyDescent="0.25">
      <c r="A963" s="10">
        <v>44414</v>
      </c>
      <c r="B963">
        <v>304881</v>
      </c>
      <c r="C963" t="s">
        <v>135</v>
      </c>
      <c r="D963" t="s">
        <v>514</v>
      </c>
      <c r="E963">
        <v>538</v>
      </c>
    </row>
    <row r="964" spans="1:5" x14ac:dyDescent="0.25">
      <c r="A964" s="10">
        <v>44414</v>
      </c>
      <c r="B964">
        <v>304886</v>
      </c>
      <c r="C964">
        <v>616616</v>
      </c>
      <c r="D964" t="s">
        <v>515</v>
      </c>
      <c r="E964">
        <v>616</v>
      </c>
    </row>
    <row r="965" spans="1:5" x14ac:dyDescent="0.25">
      <c r="A965" s="10">
        <v>44414</v>
      </c>
      <c r="B965">
        <v>304914</v>
      </c>
      <c r="C965" t="s">
        <v>116</v>
      </c>
      <c r="D965" t="s">
        <v>516</v>
      </c>
      <c r="E965">
        <v>638</v>
      </c>
    </row>
    <row r="966" spans="1:5" x14ac:dyDescent="0.25">
      <c r="A966" s="10">
        <v>44414</v>
      </c>
      <c r="B966">
        <v>304914</v>
      </c>
      <c r="C966" t="s">
        <v>107</v>
      </c>
      <c r="D966" t="s">
        <v>517</v>
      </c>
      <c r="E966">
        <v>640</v>
      </c>
    </row>
    <row r="967" spans="1:5" x14ac:dyDescent="0.25">
      <c r="A967" s="10">
        <v>44414</v>
      </c>
      <c r="B967">
        <v>304885</v>
      </c>
      <c r="C967" t="s">
        <v>108</v>
      </c>
      <c r="D967" t="s">
        <v>518</v>
      </c>
      <c r="E967">
        <v>642</v>
      </c>
    </row>
    <row r="968" spans="1:5" x14ac:dyDescent="0.25">
      <c r="A968" s="10">
        <v>44414</v>
      </c>
      <c r="B968">
        <v>304886</v>
      </c>
      <c r="C968" t="s">
        <v>109</v>
      </c>
      <c r="D968" t="s">
        <v>519</v>
      </c>
      <c r="E968">
        <v>654</v>
      </c>
    </row>
    <row r="969" spans="1:5" x14ac:dyDescent="0.25">
      <c r="A969" s="10">
        <v>44414</v>
      </c>
      <c r="B969">
        <v>304886</v>
      </c>
      <c r="C969" t="s">
        <v>121</v>
      </c>
      <c r="D969" t="s">
        <v>520</v>
      </c>
      <c r="E969">
        <v>656</v>
      </c>
    </row>
    <row r="970" spans="1:5" x14ac:dyDescent="0.25">
      <c r="A970" s="10">
        <v>44414</v>
      </c>
      <c r="B970">
        <v>304886</v>
      </c>
      <c r="C970" t="s">
        <v>117</v>
      </c>
      <c r="D970" t="s">
        <v>521</v>
      </c>
      <c r="E970">
        <v>660</v>
      </c>
    </row>
    <row r="971" spans="1:5" x14ac:dyDescent="0.25">
      <c r="A971" s="10">
        <v>44414</v>
      </c>
      <c r="B971">
        <v>304886</v>
      </c>
      <c r="C971">
        <v>668</v>
      </c>
      <c r="D971" t="s">
        <v>522</v>
      </c>
      <c r="E971">
        <v>668</v>
      </c>
    </row>
    <row r="972" spans="1:5" x14ac:dyDescent="0.25">
      <c r="A972" s="10">
        <v>44414</v>
      </c>
      <c r="B972">
        <v>304886</v>
      </c>
      <c r="C972">
        <v>87511</v>
      </c>
      <c r="D972" t="s">
        <v>523</v>
      </c>
      <c r="E972">
        <v>615</v>
      </c>
    </row>
    <row r="973" spans="1:5" x14ac:dyDescent="0.25">
      <c r="A973" s="10">
        <v>44414</v>
      </c>
      <c r="B973">
        <v>304914</v>
      </c>
      <c r="C973">
        <v>421736</v>
      </c>
      <c r="D973" t="s">
        <v>524</v>
      </c>
      <c r="E973">
        <v>617</v>
      </c>
    </row>
    <row r="974" spans="1:5" x14ac:dyDescent="0.25">
      <c r="A974" s="10">
        <v>44414</v>
      </c>
      <c r="B974">
        <v>304881</v>
      </c>
      <c r="C974">
        <v>699</v>
      </c>
      <c r="D974" t="s">
        <v>525</v>
      </c>
      <c r="E974">
        <v>699</v>
      </c>
    </row>
    <row r="975" spans="1:5" x14ac:dyDescent="0.25">
      <c r="A975" s="10">
        <v>44417</v>
      </c>
      <c r="B975">
        <v>304988</v>
      </c>
      <c r="C975">
        <v>432600</v>
      </c>
      <c r="D975" t="s">
        <v>417</v>
      </c>
      <c r="E975">
        <v>124</v>
      </c>
    </row>
    <row r="976" spans="1:5" x14ac:dyDescent="0.25">
      <c r="A976" s="10">
        <v>44417</v>
      </c>
      <c r="B976">
        <v>304988</v>
      </c>
      <c r="C976">
        <v>432595</v>
      </c>
      <c r="D976" t="s">
        <v>418</v>
      </c>
      <c r="E976">
        <v>128</v>
      </c>
    </row>
    <row r="977" spans="1:5" x14ac:dyDescent="0.25">
      <c r="A977" s="10">
        <v>44417</v>
      </c>
      <c r="B977">
        <v>304886</v>
      </c>
      <c r="C977" t="s">
        <v>141</v>
      </c>
      <c r="D977" t="s">
        <v>419</v>
      </c>
      <c r="E977">
        <v>132</v>
      </c>
    </row>
    <row r="978" spans="1:5" x14ac:dyDescent="0.25">
      <c r="A978" s="10">
        <v>44417</v>
      </c>
      <c r="B978">
        <v>304988</v>
      </c>
      <c r="C978">
        <v>84334</v>
      </c>
      <c r="D978" t="s">
        <v>420</v>
      </c>
      <c r="E978">
        <v>136</v>
      </c>
    </row>
    <row r="979" spans="1:5" x14ac:dyDescent="0.25">
      <c r="A979" s="10">
        <v>44417</v>
      </c>
      <c r="B979">
        <v>304988</v>
      </c>
      <c r="C979">
        <v>463875</v>
      </c>
      <c r="D979" t="s">
        <v>421</v>
      </c>
      <c r="E979">
        <v>140</v>
      </c>
    </row>
    <row r="980" spans="1:5" x14ac:dyDescent="0.25">
      <c r="A980" s="10">
        <v>44417</v>
      </c>
      <c r="B980">
        <v>304887</v>
      </c>
      <c r="C980">
        <v>326234</v>
      </c>
      <c r="D980" t="s">
        <v>422</v>
      </c>
      <c r="E980">
        <v>144</v>
      </c>
    </row>
    <row r="981" spans="1:5" x14ac:dyDescent="0.25">
      <c r="A981" s="10">
        <v>44417</v>
      </c>
      <c r="B981">
        <v>304882</v>
      </c>
      <c r="C981">
        <v>317397</v>
      </c>
      <c r="D981" t="s">
        <v>423</v>
      </c>
      <c r="E981">
        <v>148</v>
      </c>
    </row>
    <row r="982" spans="1:5" x14ac:dyDescent="0.25">
      <c r="A982" s="10">
        <v>44417</v>
      </c>
      <c r="B982">
        <v>304887</v>
      </c>
      <c r="C982">
        <v>411264</v>
      </c>
      <c r="D982" t="s">
        <v>424</v>
      </c>
      <c r="E982">
        <v>152</v>
      </c>
    </row>
    <row r="983" spans="1:5" x14ac:dyDescent="0.25">
      <c r="A983" s="10">
        <v>44417</v>
      </c>
      <c r="B983">
        <v>304887</v>
      </c>
      <c r="C983">
        <v>420522</v>
      </c>
      <c r="D983" t="s">
        <v>425</v>
      </c>
      <c r="E983">
        <v>156</v>
      </c>
    </row>
    <row r="984" spans="1:5" x14ac:dyDescent="0.25">
      <c r="A984" s="10">
        <v>44417</v>
      </c>
      <c r="B984">
        <v>304887</v>
      </c>
      <c r="C984">
        <v>431154</v>
      </c>
      <c r="D984" t="s">
        <v>426</v>
      </c>
      <c r="E984">
        <v>160</v>
      </c>
    </row>
    <row r="985" spans="1:5" x14ac:dyDescent="0.25">
      <c r="A985" s="10">
        <v>44417</v>
      </c>
      <c r="B985">
        <v>304881</v>
      </c>
      <c r="C985">
        <v>434748</v>
      </c>
      <c r="D985" t="s">
        <v>427</v>
      </c>
      <c r="E985">
        <v>121</v>
      </c>
    </row>
    <row r="986" spans="1:5" x14ac:dyDescent="0.25">
      <c r="A986" s="10">
        <v>44417</v>
      </c>
      <c r="B986">
        <v>304881</v>
      </c>
      <c r="C986">
        <v>424959</v>
      </c>
      <c r="D986" t="s">
        <v>428</v>
      </c>
      <c r="E986">
        <v>125</v>
      </c>
    </row>
    <row r="987" spans="1:5" x14ac:dyDescent="0.25">
      <c r="A987" s="10">
        <v>44417</v>
      </c>
      <c r="B987">
        <v>304887</v>
      </c>
      <c r="C987">
        <v>417342</v>
      </c>
      <c r="D987" t="s">
        <v>429</v>
      </c>
      <c r="E987">
        <v>129</v>
      </c>
    </row>
    <row r="988" spans="1:5" x14ac:dyDescent="0.25">
      <c r="A988" s="10">
        <v>44417</v>
      </c>
      <c r="B988">
        <v>304882</v>
      </c>
      <c r="C988">
        <v>316421</v>
      </c>
      <c r="D988" t="s">
        <v>430</v>
      </c>
      <c r="E988">
        <v>133</v>
      </c>
    </row>
    <row r="989" spans="1:5" x14ac:dyDescent="0.25">
      <c r="A989" s="10">
        <v>44417</v>
      </c>
      <c r="B989">
        <v>304881</v>
      </c>
      <c r="C989">
        <v>404394</v>
      </c>
      <c r="D989" t="s">
        <v>431</v>
      </c>
      <c r="E989">
        <v>137</v>
      </c>
    </row>
    <row r="990" spans="1:5" x14ac:dyDescent="0.25">
      <c r="A990" s="10">
        <v>44417</v>
      </c>
      <c r="B990">
        <v>304887</v>
      </c>
      <c r="C990">
        <v>409256</v>
      </c>
      <c r="D990" t="s">
        <v>432</v>
      </c>
      <c r="E990">
        <v>141</v>
      </c>
    </row>
    <row r="991" spans="1:5" x14ac:dyDescent="0.25">
      <c r="A991" s="10">
        <v>44417</v>
      </c>
      <c r="B991">
        <v>304882</v>
      </c>
      <c r="C991">
        <v>400398</v>
      </c>
      <c r="D991" t="s">
        <v>433</v>
      </c>
      <c r="E991">
        <v>145</v>
      </c>
    </row>
    <row r="992" spans="1:5" x14ac:dyDescent="0.25">
      <c r="A992" s="10">
        <v>44417</v>
      </c>
      <c r="B992">
        <v>304887</v>
      </c>
      <c r="C992">
        <v>404439</v>
      </c>
      <c r="D992" t="s">
        <v>434</v>
      </c>
      <c r="E992">
        <v>149</v>
      </c>
    </row>
    <row r="993" spans="1:5" x14ac:dyDescent="0.25">
      <c r="A993" s="10">
        <v>44417</v>
      </c>
      <c r="B993">
        <v>304887</v>
      </c>
      <c r="C993">
        <v>417490</v>
      </c>
      <c r="D993" t="s">
        <v>435</v>
      </c>
      <c r="E993">
        <v>153</v>
      </c>
    </row>
    <row r="994" spans="1:5" x14ac:dyDescent="0.25">
      <c r="A994" s="10">
        <v>44417</v>
      </c>
      <c r="B994">
        <v>304887</v>
      </c>
      <c r="C994">
        <v>87502</v>
      </c>
      <c r="D994" t="s">
        <v>436</v>
      </c>
      <c r="E994">
        <v>157</v>
      </c>
    </row>
    <row r="995" spans="1:5" x14ac:dyDescent="0.25">
      <c r="A995" s="10">
        <v>44417</v>
      </c>
      <c r="B995">
        <v>304885</v>
      </c>
      <c r="C995">
        <v>431085</v>
      </c>
      <c r="D995" t="s">
        <v>437</v>
      </c>
      <c r="E995">
        <v>161</v>
      </c>
    </row>
    <row r="996" spans="1:5" x14ac:dyDescent="0.25">
      <c r="A996" s="10">
        <v>44417</v>
      </c>
      <c r="B996">
        <v>304882</v>
      </c>
      <c r="C996">
        <v>320300</v>
      </c>
      <c r="D996" t="s">
        <v>438</v>
      </c>
      <c r="E996">
        <v>165</v>
      </c>
    </row>
    <row r="997" spans="1:5" x14ac:dyDescent="0.25">
      <c r="A997" s="10">
        <v>44417</v>
      </c>
      <c r="B997">
        <v>304882</v>
      </c>
      <c r="C997" t="s">
        <v>164</v>
      </c>
      <c r="D997" t="s">
        <v>439</v>
      </c>
      <c r="E997">
        <v>169</v>
      </c>
    </row>
    <row r="998" spans="1:5" x14ac:dyDescent="0.25">
      <c r="A998" s="10">
        <v>44417</v>
      </c>
      <c r="B998">
        <v>304914</v>
      </c>
      <c r="C998">
        <v>425044</v>
      </c>
      <c r="D998" t="s">
        <v>440</v>
      </c>
      <c r="E998">
        <v>224</v>
      </c>
    </row>
    <row r="999" spans="1:5" x14ac:dyDescent="0.25">
      <c r="A999" s="10">
        <v>44417</v>
      </c>
      <c r="B999">
        <v>304914</v>
      </c>
      <c r="C999">
        <v>425045</v>
      </c>
      <c r="D999" t="s">
        <v>441</v>
      </c>
      <c r="E999">
        <v>228</v>
      </c>
    </row>
    <row r="1000" spans="1:5" x14ac:dyDescent="0.25">
      <c r="A1000" s="10">
        <v>44417</v>
      </c>
      <c r="B1000">
        <v>304914</v>
      </c>
      <c r="C1000" t="s">
        <v>92</v>
      </c>
      <c r="D1000" t="s">
        <v>442</v>
      </c>
      <c r="E1000">
        <v>232</v>
      </c>
    </row>
    <row r="1001" spans="1:5" x14ac:dyDescent="0.25">
      <c r="A1001" s="10">
        <v>44417</v>
      </c>
      <c r="B1001">
        <v>304914</v>
      </c>
      <c r="C1001">
        <v>421733</v>
      </c>
      <c r="D1001" t="s">
        <v>443</v>
      </c>
      <c r="E1001">
        <v>236</v>
      </c>
    </row>
    <row r="1002" spans="1:5" x14ac:dyDescent="0.25">
      <c r="A1002" s="10">
        <v>44417</v>
      </c>
      <c r="B1002">
        <v>304914</v>
      </c>
      <c r="C1002">
        <v>421730</v>
      </c>
      <c r="D1002" t="s">
        <v>444</v>
      </c>
      <c r="E1002">
        <v>240</v>
      </c>
    </row>
    <row r="1003" spans="1:5" x14ac:dyDescent="0.25">
      <c r="A1003" s="10">
        <v>44417</v>
      </c>
      <c r="B1003">
        <v>304914</v>
      </c>
      <c r="C1003">
        <v>425046</v>
      </c>
      <c r="D1003" t="s">
        <v>445</v>
      </c>
      <c r="E1003">
        <v>244</v>
      </c>
    </row>
    <row r="1004" spans="1:5" x14ac:dyDescent="0.25">
      <c r="A1004" s="10">
        <v>44417</v>
      </c>
      <c r="B1004">
        <v>304914</v>
      </c>
      <c r="C1004">
        <v>439935</v>
      </c>
      <c r="D1004" t="s">
        <v>446</v>
      </c>
      <c r="E1004">
        <v>248</v>
      </c>
    </row>
    <row r="1005" spans="1:5" x14ac:dyDescent="0.25">
      <c r="A1005" s="10">
        <v>44417</v>
      </c>
      <c r="B1005">
        <v>304914</v>
      </c>
      <c r="C1005" t="s">
        <v>93</v>
      </c>
      <c r="D1005" t="s">
        <v>447</v>
      </c>
      <c r="E1005">
        <v>252</v>
      </c>
    </row>
    <row r="1006" spans="1:5" x14ac:dyDescent="0.25">
      <c r="A1006" s="10">
        <v>44417</v>
      </c>
      <c r="B1006">
        <v>304885</v>
      </c>
      <c r="C1006">
        <v>412667</v>
      </c>
      <c r="D1006" t="s">
        <v>448</v>
      </c>
      <c r="E1006">
        <v>256</v>
      </c>
    </row>
    <row r="1007" spans="1:5" x14ac:dyDescent="0.25">
      <c r="A1007" s="10">
        <v>44417</v>
      </c>
      <c r="B1007">
        <v>304914</v>
      </c>
      <c r="C1007" t="s">
        <v>94</v>
      </c>
      <c r="D1007" t="s">
        <v>449</v>
      </c>
      <c r="E1007">
        <v>260</v>
      </c>
    </row>
    <row r="1008" spans="1:5" x14ac:dyDescent="0.25">
      <c r="A1008" s="10">
        <v>44417</v>
      </c>
      <c r="B1008">
        <v>304914</v>
      </c>
      <c r="C1008">
        <v>262262</v>
      </c>
      <c r="D1008" t="s">
        <v>450</v>
      </c>
      <c r="E1008">
        <v>262</v>
      </c>
    </row>
    <row r="1009" spans="1:5" x14ac:dyDescent="0.25">
      <c r="A1009" s="10">
        <v>44417</v>
      </c>
      <c r="B1009">
        <v>304914</v>
      </c>
      <c r="C1009" t="s">
        <v>271</v>
      </c>
      <c r="D1009" t="s">
        <v>451</v>
      </c>
      <c r="E1009">
        <v>264</v>
      </c>
    </row>
    <row r="1010" spans="1:5" x14ac:dyDescent="0.25">
      <c r="A1010" s="10">
        <v>44417</v>
      </c>
      <c r="B1010">
        <v>304914</v>
      </c>
      <c r="C1010" t="s">
        <v>158</v>
      </c>
      <c r="D1010" t="s">
        <v>452</v>
      </c>
      <c r="E1010">
        <v>266</v>
      </c>
    </row>
    <row r="1011" spans="1:5" x14ac:dyDescent="0.25">
      <c r="A1011" s="10">
        <v>44417</v>
      </c>
      <c r="B1011">
        <v>304884</v>
      </c>
      <c r="C1011">
        <v>99450</v>
      </c>
      <c r="D1011" t="s">
        <v>453</v>
      </c>
      <c r="E1011">
        <v>221</v>
      </c>
    </row>
    <row r="1012" spans="1:5" x14ac:dyDescent="0.25">
      <c r="A1012" s="10">
        <v>44417</v>
      </c>
      <c r="B1012">
        <v>304884</v>
      </c>
      <c r="C1012">
        <v>403441</v>
      </c>
      <c r="D1012" t="s">
        <v>454</v>
      </c>
      <c r="E1012">
        <v>225</v>
      </c>
    </row>
    <row r="1013" spans="1:5" x14ac:dyDescent="0.25">
      <c r="A1013" s="10">
        <v>44417</v>
      </c>
      <c r="B1013">
        <v>304884</v>
      </c>
      <c r="C1013">
        <v>425293</v>
      </c>
      <c r="D1013" t="s">
        <v>455</v>
      </c>
      <c r="E1013">
        <v>229</v>
      </c>
    </row>
    <row r="1014" spans="1:5" x14ac:dyDescent="0.25">
      <c r="A1014" s="10">
        <v>44417</v>
      </c>
      <c r="B1014">
        <v>304988</v>
      </c>
      <c r="C1014">
        <v>303354</v>
      </c>
      <c r="D1014" t="s">
        <v>456</v>
      </c>
      <c r="E1014">
        <v>233</v>
      </c>
    </row>
    <row r="1015" spans="1:5" x14ac:dyDescent="0.25">
      <c r="A1015" s="10">
        <v>44417</v>
      </c>
      <c r="B1015">
        <v>304988</v>
      </c>
      <c r="C1015">
        <v>85227</v>
      </c>
      <c r="D1015" t="s">
        <v>457</v>
      </c>
      <c r="E1015">
        <v>237</v>
      </c>
    </row>
    <row r="1016" spans="1:5" x14ac:dyDescent="0.25">
      <c r="A1016" s="10">
        <v>44417</v>
      </c>
      <c r="B1016">
        <v>304884</v>
      </c>
      <c r="C1016">
        <v>328267</v>
      </c>
      <c r="D1016" t="s">
        <v>458</v>
      </c>
      <c r="E1016">
        <v>241</v>
      </c>
    </row>
    <row r="1017" spans="1:5" x14ac:dyDescent="0.25">
      <c r="A1017" s="10">
        <v>44417</v>
      </c>
      <c r="B1017">
        <v>304882</v>
      </c>
      <c r="C1017">
        <v>316420</v>
      </c>
      <c r="D1017" t="s">
        <v>459</v>
      </c>
      <c r="E1017">
        <v>245</v>
      </c>
    </row>
    <row r="1018" spans="1:5" x14ac:dyDescent="0.25">
      <c r="A1018" s="10">
        <v>44417</v>
      </c>
      <c r="B1018">
        <v>304884</v>
      </c>
      <c r="C1018">
        <v>314246</v>
      </c>
      <c r="D1018" t="s">
        <v>460</v>
      </c>
      <c r="E1018">
        <v>249</v>
      </c>
    </row>
    <row r="1019" spans="1:5" x14ac:dyDescent="0.25">
      <c r="A1019" s="10">
        <v>44417</v>
      </c>
      <c r="B1019">
        <v>304884</v>
      </c>
      <c r="C1019">
        <v>423185</v>
      </c>
      <c r="D1019" t="s">
        <v>461</v>
      </c>
      <c r="E1019">
        <v>253</v>
      </c>
    </row>
    <row r="1020" spans="1:5" x14ac:dyDescent="0.25">
      <c r="A1020" s="10">
        <v>44417</v>
      </c>
      <c r="B1020">
        <v>304884</v>
      </c>
      <c r="C1020">
        <v>412800</v>
      </c>
      <c r="D1020" t="s">
        <v>462</v>
      </c>
      <c r="E1020">
        <v>257</v>
      </c>
    </row>
    <row r="1021" spans="1:5" x14ac:dyDescent="0.25">
      <c r="A1021" s="10">
        <v>44417</v>
      </c>
      <c r="B1021">
        <v>304884</v>
      </c>
      <c r="C1021">
        <v>86159</v>
      </c>
      <c r="D1021" t="s">
        <v>463</v>
      </c>
      <c r="E1021">
        <v>261</v>
      </c>
    </row>
    <row r="1022" spans="1:5" x14ac:dyDescent="0.25">
      <c r="A1022" s="10">
        <v>44417</v>
      </c>
      <c r="B1022">
        <v>304882</v>
      </c>
      <c r="C1022">
        <v>317398</v>
      </c>
      <c r="D1022" t="s">
        <v>464</v>
      </c>
      <c r="E1022">
        <v>265</v>
      </c>
    </row>
    <row r="1023" spans="1:5" x14ac:dyDescent="0.25">
      <c r="A1023" s="10">
        <v>44417</v>
      </c>
      <c r="B1023">
        <v>304883</v>
      </c>
      <c r="C1023">
        <v>404328</v>
      </c>
      <c r="D1023" t="s">
        <v>465</v>
      </c>
      <c r="E1023">
        <v>324</v>
      </c>
    </row>
    <row r="1024" spans="1:5" x14ac:dyDescent="0.25">
      <c r="A1024" s="10">
        <v>44417</v>
      </c>
      <c r="B1024">
        <v>304885</v>
      </c>
      <c r="C1024">
        <v>86415</v>
      </c>
      <c r="D1024" t="s">
        <v>466</v>
      </c>
      <c r="E1024">
        <v>328</v>
      </c>
    </row>
    <row r="1025" spans="1:5" x14ac:dyDescent="0.25">
      <c r="A1025" s="10">
        <v>44417</v>
      </c>
      <c r="B1025">
        <v>304883</v>
      </c>
      <c r="C1025" t="s">
        <v>145</v>
      </c>
      <c r="D1025" t="s">
        <v>467</v>
      </c>
      <c r="E1025">
        <v>332</v>
      </c>
    </row>
    <row r="1026" spans="1:5" x14ac:dyDescent="0.25">
      <c r="A1026" s="10">
        <v>44417</v>
      </c>
      <c r="B1026">
        <v>304885</v>
      </c>
      <c r="C1026">
        <v>87377</v>
      </c>
      <c r="D1026" t="s">
        <v>468</v>
      </c>
      <c r="E1026">
        <v>336</v>
      </c>
    </row>
    <row r="1027" spans="1:5" x14ac:dyDescent="0.25">
      <c r="A1027" s="10">
        <v>44417</v>
      </c>
      <c r="B1027">
        <v>304886</v>
      </c>
      <c r="C1027">
        <v>405337</v>
      </c>
      <c r="D1027" t="s">
        <v>469</v>
      </c>
      <c r="E1027">
        <v>340</v>
      </c>
    </row>
    <row r="1028" spans="1:5" x14ac:dyDescent="0.25">
      <c r="A1028" s="10">
        <v>44417</v>
      </c>
      <c r="B1028">
        <v>304881</v>
      </c>
      <c r="C1028">
        <v>461887</v>
      </c>
      <c r="D1028" t="s">
        <v>470</v>
      </c>
      <c r="E1028">
        <v>344</v>
      </c>
    </row>
    <row r="1029" spans="1:5" x14ac:dyDescent="0.25">
      <c r="A1029" s="10">
        <v>44417</v>
      </c>
      <c r="B1029">
        <v>304881</v>
      </c>
      <c r="C1029" t="s">
        <v>244</v>
      </c>
      <c r="D1029" t="s">
        <v>471</v>
      </c>
      <c r="E1029">
        <v>348</v>
      </c>
    </row>
    <row r="1030" spans="1:5" x14ac:dyDescent="0.25">
      <c r="A1030" s="10">
        <v>44417</v>
      </c>
      <c r="B1030">
        <v>304881</v>
      </c>
      <c r="C1030">
        <v>461885</v>
      </c>
      <c r="D1030" t="s">
        <v>472</v>
      </c>
      <c r="E1030">
        <v>352</v>
      </c>
    </row>
    <row r="1031" spans="1:5" x14ac:dyDescent="0.25">
      <c r="A1031" s="10">
        <v>44417</v>
      </c>
      <c r="B1031">
        <v>304881</v>
      </c>
      <c r="C1031">
        <v>434749</v>
      </c>
      <c r="D1031" t="s">
        <v>473</v>
      </c>
      <c r="E1031">
        <v>356</v>
      </c>
    </row>
    <row r="1032" spans="1:5" x14ac:dyDescent="0.25">
      <c r="A1032" s="10">
        <v>44417</v>
      </c>
      <c r="B1032">
        <v>304881</v>
      </c>
      <c r="C1032" t="s">
        <v>112</v>
      </c>
      <c r="D1032" t="s">
        <v>474</v>
      </c>
      <c r="E1032">
        <v>366</v>
      </c>
    </row>
    <row r="1033" spans="1:5" x14ac:dyDescent="0.25">
      <c r="A1033" s="10">
        <v>44417</v>
      </c>
      <c r="B1033">
        <v>304881</v>
      </c>
      <c r="C1033" t="s">
        <v>97</v>
      </c>
      <c r="D1033" t="s">
        <v>475</v>
      </c>
      <c r="E1033">
        <v>368</v>
      </c>
    </row>
    <row r="1034" spans="1:5" x14ac:dyDescent="0.25">
      <c r="A1034" s="10">
        <v>44417</v>
      </c>
      <c r="B1034">
        <v>304885</v>
      </c>
      <c r="C1034" t="s">
        <v>166</v>
      </c>
      <c r="D1034" t="s">
        <v>476</v>
      </c>
      <c r="E1034">
        <v>370</v>
      </c>
    </row>
    <row r="1035" spans="1:5" x14ac:dyDescent="0.25">
      <c r="A1035" s="10">
        <v>44417</v>
      </c>
      <c r="B1035">
        <v>304882</v>
      </c>
      <c r="C1035" t="s">
        <v>98</v>
      </c>
      <c r="D1035" t="s">
        <v>477</v>
      </c>
      <c r="E1035">
        <v>376</v>
      </c>
    </row>
    <row r="1036" spans="1:5" x14ac:dyDescent="0.25">
      <c r="A1036" s="10">
        <v>44417</v>
      </c>
      <c r="B1036">
        <v>304883</v>
      </c>
      <c r="C1036">
        <v>319319</v>
      </c>
      <c r="D1036" t="s">
        <v>478</v>
      </c>
      <c r="E1036">
        <v>319</v>
      </c>
    </row>
    <row r="1037" spans="1:5" x14ac:dyDescent="0.25">
      <c r="A1037" s="10">
        <v>44417</v>
      </c>
      <c r="B1037">
        <v>304883</v>
      </c>
      <c r="C1037">
        <v>432597</v>
      </c>
      <c r="D1037" t="s">
        <v>479</v>
      </c>
      <c r="E1037">
        <v>321</v>
      </c>
    </row>
    <row r="1038" spans="1:5" x14ac:dyDescent="0.25">
      <c r="A1038" s="10">
        <v>44417</v>
      </c>
      <c r="B1038">
        <v>304883</v>
      </c>
      <c r="C1038">
        <v>463876</v>
      </c>
      <c r="D1038" t="s">
        <v>480</v>
      </c>
      <c r="E1038">
        <v>325</v>
      </c>
    </row>
    <row r="1039" spans="1:5" x14ac:dyDescent="0.25">
      <c r="A1039" s="10">
        <v>44417</v>
      </c>
      <c r="B1039">
        <v>304883</v>
      </c>
      <c r="C1039" t="s">
        <v>272</v>
      </c>
      <c r="D1039" t="s">
        <v>481</v>
      </c>
      <c r="E1039">
        <v>329</v>
      </c>
    </row>
    <row r="1040" spans="1:5" x14ac:dyDescent="0.25">
      <c r="A1040" s="10">
        <v>44417</v>
      </c>
      <c r="B1040">
        <v>304883</v>
      </c>
      <c r="C1040">
        <v>99443</v>
      </c>
      <c r="D1040" t="s">
        <v>482</v>
      </c>
      <c r="E1040">
        <v>333</v>
      </c>
    </row>
    <row r="1041" spans="1:5" x14ac:dyDescent="0.25">
      <c r="A1041" s="10">
        <v>44417</v>
      </c>
      <c r="B1041">
        <v>304883</v>
      </c>
      <c r="C1041" t="s">
        <v>256</v>
      </c>
      <c r="D1041" t="s">
        <v>483</v>
      </c>
      <c r="E1041">
        <v>337</v>
      </c>
    </row>
    <row r="1042" spans="1:5" x14ac:dyDescent="0.25">
      <c r="A1042" s="10">
        <v>44417</v>
      </c>
      <c r="B1042">
        <v>304883</v>
      </c>
      <c r="C1042">
        <v>432598</v>
      </c>
      <c r="D1042" t="s">
        <v>484</v>
      </c>
      <c r="E1042">
        <v>341</v>
      </c>
    </row>
    <row r="1043" spans="1:5" x14ac:dyDescent="0.25">
      <c r="A1043" s="10">
        <v>44417</v>
      </c>
      <c r="B1043">
        <v>304885</v>
      </c>
      <c r="C1043">
        <v>402666</v>
      </c>
      <c r="D1043" t="s">
        <v>485</v>
      </c>
      <c r="E1043">
        <v>345</v>
      </c>
    </row>
    <row r="1044" spans="1:5" x14ac:dyDescent="0.25">
      <c r="A1044" s="10">
        <v>44417</v>
      </c>
      <c r="B1044">
        <v>304885</v>
      </c>
      <c r="C1044">
        <v>414479</v>
      </c>
      <c r="D1044" t="s">
        <v>486</v>
      </c>
      <c r="E1044">
        <v>349</v>
      </c>
    </row>
    <row r="1045" spans="1:5" x14ac:dyDescent="0.25">
      <c r="A1045" s="10">
        <v>44417</v>
      </c>
      <c r="B1045">
        <v>304885</v>
      </c>
      <c r="C1045">
        <v>87376</v>
      </c>
      <c r="D1045" t="s">
        <v>487</v>
      </c>
      <c r="E1045">
        <v>353</v>
      </c>
    </row>
    <row r="1046" spans="1:5" x14ac:dyDescent="0.25">
      <c r="A1046" s="10">
        <v>44417</v>
      </c>
      <c r="B1046">
        <v>304885</v>
      </c>
      <c r="C1046">
        <v>320665</v>
      </c>
      <c r="D1046" t="s">
        <v>488</v>
      </c>
      <c r="E1046">
        <v>357</v>
      </c>
    </row>
    <row r="1047" spans="1:5" x14ac:dyDescent="0.25">
      <c r="A1047" s="10">
        <v>44417</v>
      </c>
      <c r="B1047">
        <v>304881</v>
      </c>
      <c r="C1047">
        <v>461886</v>
      </c>
      <c r="D1047" t="s">
        <v>489</v>
      </c>
      <c r="E1047">
        <v>361</v>
      </c>
    </row>
    <row r="1048" spans="1:5" x14ac:dyDescent="0.25">
      <c r="A1048" s="10">
        <v>44417</v>
      </c>
      <c r="B1048">
        <v>304881</v>
      </c>
      <c r="C1048">
        <v>320763</v>
      </c>
      <c r="D1048" t="s">
        <v>490</v>
      </c>
      <c r="E1048">
        <v>365</v>
      </c>
    </row>
    <row r="1049" spans="1:5" x14ac:dyDescent="0.25">
      <c r="A1049" s="10">
        <v>44417</v>
      </c>
      <c r="B1049">
        <v>304881</v>
      </c>
      <c r="C1049" t="s">
        <v>113</v>
      </c>
      <c r="D1049" t="s">
        <v>491</v>
      </c>
      <c r="E1049">
        <v>369</v>
      </c>
    </row>
    <row r="1050" spans="1:5" x14ac:dyDescent="0.25">
      <c r="A1050" s="10">
        <v>44417</v>
      </c>
      <c r="B1050">
        <v>304887</v>
      </c>
      <c r="C1050">
        <v>203589</v>
      </c>
      <c r="D1050" t="s">
        <v>492</v>
      </c>
      <c r="E1050">
        <v>420</v>
      </c>
    </row>
    <row r="1051" spans="1:5" x14ac:dyDescent="0.25">
      <c r="A1051" s="10">
        <v>44417</v>
      </c>
      <c r="B1051">
        <v>304883</v>
      </c>
      <c r="C1051" t="s">
        <v>273</v>
      </c>
      <c r="D1051" t="s">
        <v>493</v>
      </c>
      <c r="E1051">
        <v>436</v>
      </c>
    </row>
    <row r="1052" spans="1:5" x14ac:dyDescent="0.25">
      <c r="A1052" s="10">
        <v>44417</v>
      </c>
      <c r="B1052">
        <v>304883</v>
      </c>
      <c r="C1052">
        <v>438438</v>
      </c>
      <c r="D1052" t="s">
        <v>494</v>
      </c>
      <c r="E1052">
        <v>438</v>
      </c>
    </row>
    <row r="1053" spans="1:5" x14ac:dyDescent="0.25">
      <c r="A1053" s="10">
        <v>44417</v>
      </c>
      <c r="B1053">
        <v>304988</v>
      </c>
      <c r="C1053">
        <v>440440</v>
      </c>
      <c r="D1053" t="s">
        <v>495</v>
      </c>
      <c r="E1053">
        <v>440</v>
      </c>
    </row>
    <row r="1054" spans="1:5" x14ac:dyDescent="0.25">
      <c r="A1054" s="10">
        <v>44417</v>
      </c>
      <c r="B1054">
        <v>304887</v>
      </c>
      <c r="C1054" t="s">
        <v>131</v>
      </c>
      <c r="D1054" t="s">
        <v>496</v>
      </c>
      <c r="E1054">
        <v>468</v>
      </c>
    </row>
    <row r="1055" spans="1:5" x14ac:dyDescent="0.25">
      <c r="A1055" s="10">
        <v>44417</v>
      </c>
      <c r="B1055">
        <v>304882</v>
      </c>
      <c r="C1055" t="s">
        <v>120</v>
      </c>
      <c r="D1055" t="s">
        <v>497</v>
      </c>
      <c r="E1055">
        <v>472</v>
      </c>
    </row>
    <row r="1056" spans="1:5" x14ac:dyDescent="0.25">
      <c r="A1056" s="10">
        <v>44417</v>
      </c>
      <c r="B1056">
        <v>304884</v>
      </c>
      <c r="C1056" t="s">
        <v>138</v>
      </c>
      <c r="D1056" t="s">
        <v>498</v>
      </c>
      <c r="E1056">
        <v>419</v>
      </c>
    </row>
    <row r="1057" spans="1:5" x14ac:dyDescent="0.25">
      <c r="A1057" s="10">
        <v>44417</v>
      </c>
      <c r="B1057">
        <v>304886</v>
      </c>
      <c r="C1057">
        <v>14958</v>
      </c>
      <c r="D1057" t="s">
        <v>499</v>
      </c>
      <c r="E1057">
        <v>421</v>
      </c>
    </row>
    <row r="1058" spans="1:5" x14ac:dyDescent="0.25">
      <c r="A1058" s="10">
        <v>44417</v>
      </c>
      <c r="B1058">
        <v>304881</v>
      </c>
      <c r="C1058" t="s">
        <v>115</v>
      </c>
      <c r="D1058" t="s">
        <v>500</v>
      </c>
      <c r="E1058">
        <v>423</v>
      </c>
    </row>
    <row r="1059" spans="1:5" x14ac:dyDescent="0.25">
      <c r="A1059" s="10">
        <v>44417</v>
      </c>
      <c r="B1059">
        <v>304883</v>
      </c>
      <c r="C1059" t="s">
        <v>100</v>
      </c>
      <c r="D1059" t="s">
        <v>501</v>
      </c>
      <c r="E1059">
        <v>425</v>
      </c>
    </row>
    <row r="1060" spans="1:5" x14ac:dyDescent="0.25">
      <c r="A1060" s="10">
        <v>44417</v>
      </c>
      <c r="B1060">
        <v>304884</v>
      </c>
      <c r="C1060" t="s">
        <v>101</v>
      </c>
      <c r="D1060" t="s">
        <v>502</v>
      </c>
      <c r="E1060">
        <v>520</v>
      </c>
    </row>
    <row r="1061" spans="1:5" x14ac:dyDescent="0.25">
      <c r="A1061" s="10">
        <v>44417</v>
      </c>
      <c r="B1061">
        <v>304884</v>
      </c>
      <c r="C1061">
        <v>524524</v>
      </c>
      <c r="D1061" t="s">
        <v>503</v>
      </c>
      <c r="E1061">
        <v>524</v>
      </c>
    </row>
    <row r="1062" spans="1:5" x14ac:dyDescent="0.25">
      <c r="A1062" s="10">
        <v>44417</v>
      </c>
      <c r="B1062">
        <v>304884</v>
      </c>
      <c r="C1062" t="s">
        <v>123</v>
      </c>
      <c r="D1062" t="s">
        <v>504</v>
      </c>
      <c r="E1062">
        <v>526</v>
      </c>
    </row>
    <row r="1063" spans="1:5" x14ac:dyDescent="0.25">
      <c r="A1063" s="10">
        <v>44417</v>
      </c>
      <c r="B1063">
        <v>304884</v>
      </c>
      <c r="C1063" t="s">
        <v>123</v>
      </c>
      <c r="D1063" t="s">
        <v>505</v>
      </c>
      <c r="E1063">
        <v>526</v>
      </c>
    </row>
    <row r="1064" spans="1:5" x14ac:dyDescent="0.25">
      <c r="A1064" s="10">
        <v>44417</v>
      </c>
      <c r="B1064">
        <v>304884</v>
      </c>
      <c r="C1064" t="s">
        <v>123</v>
      </c>
      <c r="D1064" t="s">
        <v>506</v>
      </c>
      <c r="E1064">
        <v>526</v>
      </c>
    </row>
    <row r="1065" spans="1:5" x14ac:dyDescent="0.25">
      <c r="A1065" s="10">
        <v>44417</v>
      </c>
      <c r="B1065">
        <v>304887</v>
      </c>
      <c r="C1065" t="s">
        <v>251</v>
      </c>
      <c r="D1065" t="s">
        <v>507</v>
      </c>
      <c r="E1065">
        <v>530</v>
      </c>
    </row>
    <row r="1066" spans="1:5" x14ac:dyDescent="0.25">
      <c r="A1066" s="10">
        <v>44417</v>
      </c>
      <c r="B1066">
        <v>304881</v>
      </c>
      <c r="C1066">
        <v>320505</v>
      </c>
      <c r="D1066" t="s">
        <v>508</v>
      </c>
      <c r="E1066">
        <v>532</v>
      </c>
    </row>
    <row r="1067" spans="1:5" x14ac:dyDescent="0.25">
      <c r="A1067" s="10">
        <v>44417</v>
      </c>
      <c r="B1067">
        <v>304887</v>
      </c>
      <c r="C1067">
        <v>842542</v>
      </c>
      <c r="D1067" t="s">
        <v>509</v>
      </c>
      <c r="E1067">
        <v>542</v>
      </c>
    </row>
    <row r="1068" spans="1:5" x14ac:dyDescent="0.25">
      <c r="A1068" s="10">
        <v>44417</v>
      </c>
      <c r="B1068">
        <v>304886</v>
      </c>
      <c r="C1068" t="s">
        <v>106</v>
      </c>
      <c r="D1068" t="s">
        <v>510</v>
      </c>
      <c r="E1068">
        <v>616</v>
      </c>
    </row>
    <row r="1069" spans="1:5" x14ac:dyDescent="0.25">
      <c r="A1069" s="10">
        <v>44417</v>
      </c>
      <c r="B1069">
        <v>304886</v>
      </c>
      <c r="C1069" t="s">
        <v>109</v>
      </c>
      <c r="D1069" t="s">
        <v>511</v>
      </c>
      <c r="E1069">
        <v>654</v>
      </c>
    </row>
    <row r="1070" spans="1:5" x14ac:dyDescent="0.25">
      <c r="A1070" s="10">
        <v>44417</v>
      </c>
      <c r="B1070">
        <v>304886</v>
      </c>
      <c r="C1070" t="s">
        <v>121</v>
      </c>
      <c r="D1070" t="s">
        <v>512</v>
      </c>
      <c r="E1070">
        <v>656</v>
      </c>
    </row>
    <row r="1071" spans="1:5" x14ac:dyDescent="0.25">
      <c r="A1071" s="10">
        <v>44417</v>
      </c>
      <c r="B1071">
        <v>304886</v>
      </c>
      <c r="C1071" t="s">
        <v>117</v>
      </c>
      <c r="D1071" t="s">
        <v>513</v>
      </c>
      <c r="E1071">
        <v>660</v>
      </c>
    </row>
    <row r="1072" spans="1:5" x14ac:dyDescent="0.25">
      <c r="A1072" s="10">
        <v>44417</v>
      </c>
      <c r="B1072">
        <v>304914</v>
      </c>
      <c r="C1072">
        <v>662</v>
      </c>
      <c r="D1072" t="s">
        <v>514</v>
      </c>
      <c r="E1072">
        <v>662</v>
      </c>
    </row>
    <row r="1073" spans="1:5" x14ac:dyDescent="0.25">
      <c r="A1073" s="10">
        <v>44417</v>
      </c>
      <c r="B1073">
        <v>304886</v>
      </c>
      <c r="C1073">
        <v>668</v>
      </c>
      <c r="D1073" t="s">
        <v>515</v>
      </c>
      <c r="E1073">
        <v>668</v>
      </c>
    </row>
    <row r="1074" spans="1:5" x14ac:dyDescent="0.25">
      <c r="A1074" s="10">
        <v>44417</v>
      </c>
      <c r="B1074">
        <v>304886</v>
      </c>
      <c r="C1074" t="s">
        <v>220</v>
      </c>
      <c r="D1074" t="s">
        <v>516</v>
      </c>
      <c r="E1074">
        <v>615</v>
      </c>
    </row>
    <row r="1075" spans="1:5" x14ac:dyDescent="0.25">
      <c r="A1075" s="10">
        <v>44417</v>
      </c>
      <c r="B1075">
        <v>304914</v>
      </c>
      <c r="C1075" t="s">
        <v>274</v>
      </c>
      <c r="D1075" t="s">
        <v>517</v>
      </c>
      <c r="E1075">
        <v>617</v>
      </c>
    </row>
    <row r="1076" spans="1:5" x14ac:dyDescent="0.25">
      <c r="A1076" s="10">
        <v>44418</v>
      </c>
      <c r="B1076">
        <v>304988</v>
      </c>
      <c r="C1076">
        <v>432600</v>
      </c>
      <c r="D1076" t="s">
        <v>417</v>
      </c>
      <c r="E1076">
        <v>124</v>
      </c>
    </row>
    <row r="1077" spans="1:5" x14ac:dyDescent="0.25">
      <c r="A1077" s="10">
        <v>44418</v>
      </c>
      <c r="B1077">
        <v>304988</v>
      </c>
      <c r="C1077">
        <v>432595</v>
      </c>
      <c r="D1077" t="s">
        <v>418</v>
      </c>
      <c r="E1077">
        <v>128</v>
      </c>
    </row>
    <row r="1078" spans="1:5" x14ac:dyDescent="0.25">
      <c r="A1078" s="10">
        <v>44418</v>
      </c>
      <c r="B1078">
        <v>304886</v>
      </c>
      <c r="C1078" t="s">
        <v>141</v>
      </c>
      <c r="D1078" t="s">
        <v>419</v>
      </c>
      <c r="E1078">
        <v>132</v>
      </c>
    </row>
    <row r="1079" spans="1:5" x14ac:dyDescent="0.25">
      <c r="A1079" s="10">
        <v>44418</v>
      </c>
      <c r="B1079">
        <v>304988</v>
      </c>
      <c r="C1079">
        <v>84334</v>
      </c>
      <c r="D1079" t="s">
        <v>420</v>
      </c>
      <c r="E1079">
        <v>136</v>
      </c>
    </row>
    <row r="1080" spans="1:5" x14ac:dyDescent="0.25">
      <c r="A1080" s="10">
        <v>44418</v>
      </c>
      <c r="B1080">
        <v>304988</v>
      </c>
      <c r="C1080">
        <v>463875</v>
      </c>
      <c r="D1080" t="s">
        <v>421</v>
      </c>
      <c r="E1080">
        <v>140</v>
      </c>
    </row>
    <row r="1081" spans="1:5" x14ac:dyDescent="0.25">
      <c r="A1081" s="10">
        <v>44418</v>
      </c>
      <c r="B1081">
        <v>304887</v>
      </c>
      <c r="C1081">
        <v>326234</v>
      </c>
      <c r="D1081" t="s">
        <v>422</v>
      </c>
      <c r="E1081">
        <v>144</v>
      </c>
    </row>
    <row r="1082" spans="1:5" x14ac:dyDescent="0.25">
      <c r="A1082" s="10">
        <v>44418</v>
      </c>
      <c r="B1082">
        <v>304882</v>
      </c>
      <c r="C1082">
        <v>317397</v>
      </c>
      <c r="D1082" t="s">
        <v>423</v>
      </c>
      <c r="E1082">
        <v>148</v>
      </c>
    </row>
    <row r="1083" spans="1:5" x14ac:dyDescent="0.25">
      <c r="A1083" s="10">
        <v>44418</v>
      </c>
      <c r="B1083">
        <v>304887</v>
      </c>
      <c r="C1083">
        <v>411264</v>
      </c>
      <c r="D1083" t="s">
        <v>424</v>
      </c>
      <c r="E1083">
        <v>152</v>
      </c>
    </row>
    <row r="1084" spans="1:5" x14ac:dyDescent="0.25">
      <c r="A1084" s="10">
        <v>44418</v>
      </c>
      <c r="B1084">
        <v>304887</v>
      </c>
      <c r="C1084">
        <v>420522</v>
      </c>
      <c r="D1084" t="s">
        <v>425</v>
      </c>
      <c r="E1084">
        <v>156</v>
      </c>
    </row>
    <row r="1085" spans="1:5" x14ac:dyDescent="0.25">
      <c r="A1085" s="10">
        <v>44418</v>
      </c>
      <c r="B1085">
        <v>304887</v>
      </c>
      <c r="C1085">
        <v>431154</v>
      </c>
      <c r="D1085" t="s">
        <v>426</v>
      </c>
      <c r="E1085">
        <v>160</v>
      </c>
    </row>
    <row r="1086" spans="1:5" x14ac:dyDescent="0.25">
      <c r="A1086" s="10">
        <v>44418</v>
      </c>
      <c r="B1086">
        <v>304887</v>
      </c>
      <c r="C1086" t="s">
        <v>128</v>
      </c>
      <c r="D1086" t="s">
        <v>427</v>
      </c>
      <c r="E1086">
        <v>162</v>
      </c>
    </row>
    <row r="1087" spans="1:5" x14ac:dyDescent="0.25">
      <c r="A1087" s="10">
        <v>44418</v>
      </c>
      <c r="B1087">
        <v>304881</v>
      </c>
      <c r="C1087">
        <v>434748</v>
      </c>
      <c r="D1087" t="s">
        <v>428</v>
      </c>
      <c r="E1087">
        <v>121</v>
      </c>
    </row>
    <row r="1088" spans="1:5" x14ac:dyDescent="0.25">
      <c r="A1088" s="10">
        <v>44418</v>
      </c>
      <c r="B1088">
        <v>304881</v>
      </c>
      <c r="C1088">
        <v>424959</v>
      </c>
      <c r="D1088" t="s">
        <v>429</v>
      </c>
      <c r="E1088">
        <v>125</v>
      </c>
    </row>
    <row r="1089" spans="1:5" x14ac:dyDescent="0.25">
      <c r="A1089" s="10">
        <v>44418</v>
      </c>
      <c r="B1089">
        <v>304887</v>
      </c>
      <c r="C1089">
        <v>417342</v>
      </c>
      <c r="D1089" t="s">
        <v>430</v>
      </c>
      <c r="E1089">
        <v>129</v>
      </c>
    </row>
    <row r="1090" spans="1:5" x14ac:dyDescent="0.25">
      <c r="A1090" s="10">
        <v>44418</v>
      </c>
      <c r="B1090">
        <v>304882</v>
      </c>
      <c r="C1090">
        <v>316421</v>
      </c>
      <c r="D1090" t="s">
        <v>431</v>
      </c>
      <c r="E1090">
        <v>133</v>
      </c>
    </row>
    <row r="1091" spans="1:5" x14ac:dyDescent="0.25">
      <c r="A1091" s="10">
        <v>44418</v>
      </c>
      <c r="B1091">
        <v>304881</v>
      </c>
      <c r="C1091">
        <v>404394</v>
      </c>
      <c r="D1091" t="s">
        <v>432</v>
      </c>
      <c r="E1091">
        <v>137</v>
      </c>
    </row>
    <row r="1092" spans="1:5" x14ac:dyDescent="0.25">
      <c r="A1092" s="10">
        <v>44418</v>
      </c>
      <c r="B1092">
        <v>304887</v>
      </c>
      <c r="C1092">
        <v>409256</v>
      </c>
      <c r="D1092" t="s">
        <v>433</v>
      </c>
      <c r="E1092">
        <v>141</v>
      </c>
    </row>
    <row r="1093" spans="1:5" x14ac:dyDescent="0.25">
      <c r="A1093" s="10">
        <v>44418</v>
      </c>
      <c r="B1093">
        <v>304882</v>
      </c>
      <c r="C1093">
        <v>400398</v>
      </c>
      <c r="D1093" t="s">
        <v>434</v>
      </c>
      <c r="E1093">
        <v>145</v>
      </c>
    </row>
    <row r="1094" spans="1:5" x14ac:dyDescent="0.25">
      <c r="A1094" s="10">
        <v>44418</v>
      </c>
      <c r="B1094">
        <v>304887</v>
      </c>
      <c r="C1094">
        <v>404439</v>
      </c>
      <c r="D1094" t="s">
        <v>435</v>
      </c>
      <c r="E1094">
        <v>149</v>
      </c>
    </row>
    <row r="1095" spans="1:5" x14ac:dyDescent="0.25">
      <c r="A1095" s="10">
        <v>44418</v>
      </c>
      <c r="B1095">
        <v>304887</v>
      </c>
      <c r="C1095">
        <v>417490</v>
      </c>
      <c r="D1095" t="s">
        <v>436</v>
      </c>
      <c r="E1095">
        <v>153</v>
      </c>
    </row>
    <row r="1096" spans="1:5" x14ac:dyDescent="0.25">
      <c r="A1096" s="10">
        <v>44418</v>
      </c>
      <c r="B1096">
        <v>304887</v>
      </c>
      <c r="C1096">
        <v>87502</v>
      </c>
      <c r="D1096" t="s">
        <v>437</v>
      </c>
      <c r="E1096">
        <v>157</v>
      </c>
    </row>
    <row r="1097" spans="1:5" x14ac:dyDescent="0.25">
      <c r="A1097" s="10">
        <v>44418</v>
      </c>
      <c r="B1097">
        <v>304887</v>
      </c>
      <c r="C1097">
        <v>431085</v>
      </c>
      <c r="D1097" t="s">
        <v>438</v>
      </c>
      <c r="E1097">
        <v>161</v>
      </c>
    </row>
    <row r="1098" spans="1:5" x14ac:dyDescent="0.25">
      <c r="A1098" s="10">
        <v>44418</v>
      </c>
      <c r="B1098">
        <v>304882</v>
      </c>
      <c r="C1098">
        <v>320300</v>
      </c>
      <c r="D1098" t="s">
        <v>439</v>
      </c>
      <c r="E1098">
        <v>165</v>
      </c>
    </row>
    <row r="1099" spans="1:5" x14ac:dyDescent="0.25">
      <c r="A1099" s="10">
        <v>44418</v>
      </c>
      <c r="B1099">
        <v>304882</v>
      </c>
      <c r="C1099" t="s">
        <v>111</v>
      </c>
      <c r="D1099" t="s">
        <v>440</v>
      </c>
      <c r="E1099">
        <v>169</v>
      </c>
    </row>
    <row r="1100" spans="1:5" x14ac:dyDescent="0.25">
      <c r="A1100" s="10">
        <v>44418</v>
      </c>
      <c r="B1100">
        <v>304914</v>
      </c>
      <c r="C1100">
        <v>425044</v>
      </c>
      <c r="D1100" t="s">
        <v>441</v>
      </c>
      <c r="E1100">
        <v>224</v>
      </c>
    </row>
    <row r="1101" spans="1:5" x14ac:dyDescent="0.25">
      <c r="A1101" s="10">
        <v>44418</v>
      </c>
      <c r="B1101">
        <v>304914</v>
      </c>
      <c r="C1101">
        <v>425045</v>
      </c>
      <c r="D1101" t="s">
        <v>442</v>
      </c>
      <c r="E1101">
        <v>228</v>
      </c>
    </row>
    <row r="1102" spans="1:5" x14ac:dyDescent="0.25">
      <c r="A1102" s="10">
        <v>44418</v>
      </c>
      <c r="B1102">
        <v>304914</v>
      </c>
      <c r="C1102" t="s">
        <v>92</v>
      </c>
      <c r="D1102" t="s">
        <v>443</v>
      </c>
      <c r="E1102">
        <v>232</v>
      </c>
    </row>
    <row r="1103" spans="1:5" x14ac:dyDescent="0.25">
      <c r="A1103" s="10">
        <v>44418</v>
      </c>
      <c r="B1103">
        <v>304914</v>
      </c>
      <c r="C1103">
        <v>421733</v>
      </c>
      <c r="D1103" t="s">
        <v>444</v>
      </c>
      <c r="E1103">
        <v>236</v>
      </c>
    </row>
    <row r="1104" spans="1:5" x14ac:dyDescent="0.25">
      <c r="A1104" s="10">
        <v>44418</v>
      </c>
      <c r="B1104">
        <v>304914</v>
      </c>
      <c r="C1104">
        <v>421730</v>
      </c>
      <c r="D1104" t="s">
        <v>445</v>
      </c>
      <c r="E1104">
        <v>240</v>
      </c>
    </row>
    <row r="1105" spans="1:5" x14ac:dyDescent="0.25">
      <c r="A1105" s="10">
        <v>44418</v>
      </c>
      <c r="B1105">
        <v>304914</v>
      </c>
      <c r="C1105">
        <v>425046</v>
      </c>
      <c r="D1105" t="s">
        <v>446</v>
      </c>
      <c r="E1105">
        <v>244</v>
      </c>
    </row>
    <row r="1106" spans="1:5" x14ac:dyDescent="0.25">
      <c r="A1106" s="10">
        <v>44418</v>
      </c>
      <c r="B1106">
        <v>304914</v>
      </c>
      <c r="C1106">
        <v>439935</v>
      </c>
      <c r="D1106" t="s">
        <v>447</v>
      </c>
      <c r="E1106">
        <v>248</v>
      </c>
    </row>
    <row r="1107" spans="1:5" x14ac:dyDescent="0.25">
      <c r="A1107" s="10">
        <v>44418</v>
      </c>
      <c r="B1107">
        <v>304914</v>
      </c>
      <c r="C1107" t="s">
        <v>93</v>
      </c>
      <c r="D1107" t="s">
        <v>448</v>
      </c>
      <c r="E1107">
        <v>252</v>
      </c>
    </row>
    <row r="1108" spans="1:5" x14ac:dyDescent="0.25">
      <c r="A1108" s="10">
        <v>44418</v>
      </c>
      <c r="B1108">
        <v>304885</v>
      </c>
      <c r="C1108" t="s">
        <v>133</v>
      </c>
      <c r="D1108" t="s">
        <v>449</v>
      </c>
      <c r="E1108">
        <v>256</v>
      </c>
    </row>
    <row r="1109" spans="1:5" x14ac:dyDescent="0.25">
      <c r="A1109" s="10">
        <v>44418</v>
      </c>
      <c r="B1109">
        <v>304914</v>
      </c>
      <c r="C1109" t="s">
        <v>94</v>
      </c>
      <c r="D1109" t="s">
        <v>450</v>
      </c>
      <c r="E1109">
        <v>260</v>
      </c>
    </row>
    <row r="1110" spans="1:5" x14ac:dyDescent="0.25">
      <c r="A1110" s="10">
        <v>44418</v>
      </c>
      <c r="B1110">
        <v>304914</v>
      </c>
      <c r="C1110" t="s">
        <v>124</v>
      </c>
      <c r="D1110" t="s">
        <v>451</v>
      </c>
      <c r="E1110">
        <v>264</v>
      </c>
    </row>
    <row r="1111" spans="1:5" x14ac:dyDescent="0.25">
      <c r="A1111" s="10">
        <v>44418</v>
      </c>
      <c r="B1111">
        <v>304884</v>
      </c>
      <c r="C1111">
        <v>99450</v>
      </c>
      <c r="D1111" t="s">
        <v>452</v>
      </c>
      <c r="E1111">
        <v>221</v>
      </c>
    </row>
    <row r="1112" spans="1:5" x14ac:dyDescent="0.25">
      <c r="A1112" s="10">
        <v>44418</v>
      </c>
      <c r="B1112">
        <v>304884</v>
      </c>
      <c r="C1112">
        <v>403441</v>
      </c>
      <c r="D1112" t="s">
        <v>453</v>
      </c>
      <c r="E1112">
        <v>225</v>
      </c>
    </row>
    <row r="1113" spans="1:5" x14ac:dyDescent="0.25">
      <c r="A1113" s="10">
        <v>44418</v>
      </c>
      <c r="B1113">
        <v>304884</v>
      </c>
      <c r="C1113">
        <v>86159</v>
      </c>
      <c r="D1113" t="s">
        <v>454</v>
      </c>
      <c r="E1113">
        <v>229</v>
      </c>
    </row>
    <row r="1114" spans="1:5" x14ac:dyDescent="0.25">
      <c r="A1114" s="10">
        <v>44418</v>
      </c>
      <c r="B1114">
        <v>304988</v>
      </c>
      <c r="C1114">
        <v>303354</v>
      </c>
      <c r="D1114" t="s">
        <v>455</v>
      </c>
      <c r="E1114">
        <v>233</v>
      </c>
    </row>
    <row r="1115" spans="1:5" x14ac:dyDescent="0.25">
      <c r="A1115" s="10">
        <v>44418</v>
      </c>
      <c r="B1115">
        <v>304988</v>
      </c>
      <c r="C1115">
        <v>85227</v>
      </c>
      <c r="D1115" t="s">
        <v>456</v>
      </c>
      <c r="E1115">
        <v>237</v>
      </c>
    </row>
    <row r="1116" spans="1:5" x14ac:dyDescent="0.25">
      <c r="A1116" s="10">
        <v>44418</v>
      </c>
      <c r="B1116">
        <v>304884</v>
      </c>
      <c r="C1116">
        <v>423185</v>
      </c>
      <c r="D1116" t="s">
        <v>457</v>
      </c>
      <c r="E1116">
        <v>241</v>
      </c>
    </row>
    <row r="1117" spans="1:5" x14ac:dyDescent="0.25">
      <c r="A1117" s="10">
        <v>44418</v>
      </c>
      <c r="B1117">
        <v>304882</v>
      </c>
      <c r="C1117">
        <v>316420</v>
      </c>
      <c r="D1117" t="s">
        <v>458</v>
      </c>
      <c r="E1117">
        <v>245</v>
      </c>
    </row>
    <row r="1118" spans="1:5" x14ac:dyDescent="0.25">
      <c r="A1118" s="10">
        <v>44418</v>
      </c>
      <c r="B1118">
        <v>304884</v>
      </c>
      <c r="C1118">
        <v>314246</v>
      </c>
      <c r="D1118" t="s">
        <v>459</v>
      </c>
      <c r="E1118">
        <v>249</v>
      </c>
    </row>
    <row r="1119" spans="1:5" x14ac:dyDescent="0.25">
      <c r="A1119" s="10">
        <v>44418</v>
      </c>
      <c r="B1119">
        <v>304884</v>
      </c>
      <c r="C1119">
        <v>425293</v>
      </c>
      <c r="D1119" t="s">
        <v>460</v>
      </c>
      <c r="E1119">
        <v>253</v>
      </c>
    </row>
    <row r="1120" spans="1:5" x14ac:dyDescent="0.25">
      <c r="A1120" s="10">
        <v>44418</v>
      </c>
      <c r="B1120">
        <v>304884</v>
      </c>
      <c r="C1120">
        <v>412800</v>
      </c>
      <c r="D1120" t="s">
        <v>461</v>
      </c>
      <c r="E1120">
        <v>257</v>
      </c>
    </row>
    <row r="1121" spans="1:5" x14ac:dyDescent="0.25">
      <c r="A1121" s="10">
        <v>44418</v>
      </c>
      <c r="B1121">
        <v>304884</v>
      </c>
      <c r="C1121">
        <v>328267</v>
      </c>
      <c r="D1121" t="s">
        <v>462</v>
      </c>
      <c r="E1121">
        <v>261</v>
      </c>
    </row>
    <row r="1122" spans="1:5" x14ac:dyDescent="0.25">
      <c r="A1122" s="10">
        <v>44418</v>
      </c>
      <c r="B1122">
        <v>304882</v>
      </c>
      <c r="C1122">
        <v>317398</v>
      </c>
      <c r="D1122" t="s">
        <v>463</v>
      </c>
      <c r="E1122">
        <v>265</v>
      </c>
    </row>
    <row r="1123" spans="1:5" x14ac:dyDescent="0.25">
      <c r="A1123" s="10">
        <v>44418</v>
      </c>
      <c r="B1123">
        <v>304883</v>
      </c>
      <c r="C1123" t="s">
        <v>282</v>
      </c>
      <c r="D1123" t="s">
        <v>464</v>
      </c>
      <c r="E1123">
        <v>324</v>
      </c>
    </row>
    <row r="1124" spans="1:5" x14ac:dyDescent="0.25">
      <c r="A1124" s="10">
        <v>44418</v>
      </c>
      <c r="B1124">
        <v>304883</v>
      </c>
      <c r="C1124">
        <v>332332</v>
      </c>
      <c r="D1124" t="s">
        <v>465</v>
      </c>
      <c r="E1124">
        <v>332</v>
      </c>
    </row>
    <row r="1125" spans="1:5" x14ac:dyDescent="0.25">
      <c r="A1125" s="10">
        <v>44418</v>
      </c>
      <c r="B1125">
        <v>304885</v>
      </c>
      <c r="C1125" t="s">
        <v>283</v>
      </c>
      <c r="D1125" t="s">
        <v>466</v>
      </c>
      <c r="E1125">
        <v>336</v>
      </c>
    </row>
    <row r="1126" spans="1:5" x14ac:dyDescent="0.25">
      <c r="A1126" s="10">
        <v>44418</v>
      </c>
      <c r="B1126">
        <v>304886</v>
      </c>
      <c r="C1126">
        <v>405337</v>
      </c>
      <c r="D1126" t="s">
        <v>467</v>
      </c>
      <c r="E1126">
        <v>340</v>
      </c>
    </row>
    <row r="1127" spans="1:5" x14ac:dyDescent="0.25">
      <c r="A1127" s="10">
        <v>44418</v>
      </c>
      <c r="B1127">
        <v>304881</v>
      </c>
      <c r="C1127">
        <v>461887</v>
      </c>
      <c r="D1127" t="s">
        <v>468</v>
      </c>
      <c r="E1127">
        <v>344</v>
      </c>
    </row>
    <row r="1128" spans="1:5" x14ac:dyDescent="0.25">
      <c r="A1128" s="10">
        <v>44418</v>
      </c>
      <c r="B1128">
        <v>304881</v>
      </c>
      <c r="C1128">
        <v>415600</v>
      </c>
      <c r="D1128" t="s">
        <v>469</v>
      </c>
      <c r="E1128">
        <v>348</v>
      </c>
    </row>
    <row r="1129" spans="1:5" x14ac:dyDescent="0.25">
      <c r="A1129" s="10">
        <v>44418</v>
      </c>
      <c r="B1129">
        <v>304881</v>
      </c>
      <c r="C1129">
        <v>461885</v>
      </c>
      <c r="D1129" t="s">
        <v>470</v>
      </c>
      <c r="E1129">
        <v>352</v>
      </c>
    </row>
    <row r="1130" spans="1:5" x14ac:dyDescent="0.25">
      <c r="A1130" s="10">
        <v>44418</v>
      </c>
      <c r="B1130">
        <v>304881</v>
      </c>
      <c r="C1130">
        <v>434749</v>
      </c>
      <c r="D1130" t="s">
        <v>471</v>
      </c>
      <c r="E1130">
        <v>356</v>
      </c>
    </row>
    <row r="1131" spans="1:5" x14ac:dyDescent="0.25">
      <c r="A1131" s="10">
        <v>44418</v>
      </c>
      <c r="B1131">
        <v>304881</v>
      </c>
      <c r="C1131" t="s">
        <v>284</v>
      </c>
      <c r="D1131" t="s">
        <v>472</v>
      </c>
      <c r="E1131">
        <v>368</v>
      </c>
    </row>
    <row r="1132" spans="1:5" x14ac:dyDescent="0.25">
      <c r="A1132" s="10">
        <v>44418</v>
      </c>
      <c r="B1132">
        <v>304882</v>
      </c>
      <c r="C1132" t="s">
        <v>98</v>
      </c>
      <c r="D1132" t="s">
        <v>473</v>
      </c>
      <c r="E1132">
        <v>376</v>
      </c>
    </row>
    <row r="1133" spans="1:5" x14ac:dyDescent="0.25">
      <c r="A1133" s="10">
        <v>44418</v>
      </c>
      <c r="B1133">
        <v>304883</v>
      </c>
      <c r="C1133">
        <v>432597</v>
      </c>
      <c r="D1133" t="s">
        <v>474</v>
      </c>
      <c r="E1133">
        <v>321</v>
      </c>
    </row>
    <row r="1134" spans="1:5" x14ac:dyDescent="0.25">
      <c r="A1134" s="10">
        <v>44418</v>
      </c>
      <c r="B1134">
        <v>304883</v>
      </c>
      <c r="C1134" t="s">
        <v>99</v>
      </c>
      <c r="D1134" t="s">
        <v>475</v>
      </c>
      <c r="E1134">
        <v>325</v>
      </c>
    </row>
    <row r="1135" spans="1:5" x14ac:dyDescent="0.25">
      <c r="A1135" s="10">
        <v>44418</v>
      </c>
      <c r="B1135">
        <v>304883</v>
      </c>
      <c r="C1135" t="s">
        <v>99</v>
      </c>
      <c r="D1135" t="s">
        <v>476</v>
      </c>
      <c r="E1135">
        <v>325</v>
      </c>
    </row>
    <row r="1136" spans="1:5" x14ac:dyDescent="0.25">
      <c r="A1136" s="10">
        <v>44418</v>
      </c>
      <c r="B1136">
        <v>304883</v>
      </c>
      <c r="C1136" t="s">
        <v>99</v>
      </c>
      <c r="D1136" t="s">
        <v>477</v>
      </c>
      <c r="E1136">
        <v>325</v>
      </c>
    </row>
    <row r="1137" spans="1:5" x14ac:dyDescent="0.25">
      <c r="A1137" s="10">
        <v>44418</v>
      </c>
      <c r="B1137">
        <v>304883</v>
      </c>
      <c r="C1137" t="s">
        <v>99</v>
      </c>
      <c r="D1137" t="s">
        <v>478</v>
      </c>
      <c r="E1137">
        <v>325</v>
      </c>
    </row>
    <row r="1138" spans="1:5" x14ac:dyDescent="0.25">
      <c r="A1138" s="10">
        <v>44418</v>
      </c>
      <c r="B1138">
        <v>304883</v>
      </c>
      <c r="C1138">
        <v>99443</v>
      </c>
      <c r="D1138" t="s">
        <v>479</v>
      </c>
      <c r="E1138">
        <v>333</v>
      </c>
    </row>
    <row r="1139" spans="1:5" x14ac:dyDescent="0.25">
      <c r="A1139" s="10">
        <v>44418</v>
      </c>
      <c r="B1139">
        <v>304883</v>
      </c>
      <c r="C1139">
        <v>310821</v>
      </c>
      <c r="D1139" t="s">
        <v>480</v>
      </c>
      <c r="E1139">
        <v>337</v>
      </c>
    </row>
    <row r="1140" spans="1:5" x14ac:dyDescent="0.25">
      <c r="A1140" s="10">
        <v>44418</v>
      </c>
      <c r="B1140">
        <v>304883</v>
      </c>
      <c r="C1140">
        <v>432598</v>
      </c>
      <c r="D1140" t="s">
        <v>481</v>
      </c>
      <c r="E1140">
        <v>341</v>
      </c>
    </row>
    <row r="1141" spans="1:5" x14ac:dyDescent="0.25">
      <c r="A1141" s="10">
        <v>44418</v>
      </c>
      <c r="B1141">
        <v>304885</v>
      </c>
      <c r="C1141">
        <v>414479</v>
      </c>
      <c r="D1141" t="s">
        <v>482</v>
      </c>
      <c r="E1141">
        <v>349</v>
      </c>
    </row>
    <row r="1142" spans="1:5" x14ac:dyDescent="0.25">
      <c r="A1142" s="10">
        <v>44418</v>
      </c>
      <c r="B1142">
        <v>304885</v>
      </c>
      <c r="C1142">
        <v>87376</v>
      </c>
      <c r="D1142" t="s">
        <v>483</v>
      </c>
      <c r="E1142">
        <v>353</v>
      </c>
    </row>
    <row r="1143" spans="1:5" x14ac:dyDescent="0.25">
      <c r="A1143" s="10">
        <v>44418</v>
      </c>
      <c r="B1143">
        <v>304885</v>
      </c>
      <c r="C1143">
        <v>320665</v>
      </c>
      <c r="D1143" t="s">
        <v>484</v>
      </c>
      <c r="E1143">
        <v>357</v>
      </c>
    </row>
    <row r="1144" spans="1:5" x14ac:dyDescent="0.25">
      <c r="A1144" s="10">
        <v>44418</v>
      </c>
      <c r="B1144">
        <v>304881</v>
      </c>
      <c r="C1144">
        <v>461886</v>
      </c>
      <c r="D1144" t="s">
        <v>485</v>
      </c>
      <c r="E1144">
        <v>361</v>
      </c>
    </row>
    <row r="1145" spans="1:5" x14ac:dyDescent="0.25">
      <c r="A1145" s="10">
        <v>44418</v>
      </c>
      <c r="B1145">
        <v>304881</v>
      </c>
      <c r="C1145">
        <v>320763</v>
      </c>
      <c r="D1145" t="s">
        <v>486</v>
      </c>
      <c r="E1145">
        <v>365</v>
      </c>
    </row>
    <row r="1146" spans="1:5" x14ac:dyDescent="0.25">
      <c r="A1146" s="10">
        <v>44418</v>
      </c>
      <c r="B1146">
        <v>304881</v>
      </c>
      <c r="C1146" t="s">
        <v>113</v>
      </c>
      <c r="D1146" t="s">
        <v>487</v>
      </c>
      <c r="E1146">
        <v>369</v>
      </c>
    </row>
    <row r="1147" spans="1:5" x14ac:dyDescent="0.25">
      <c r="A1147" s="10">
        <v>44418</v>
      </c>
      <c r="B1147">
        <v>304887</v>
      </c>
      <c r="C1147">
        <v>203589</v>
      </c>
      <c r="D1147" t="s">
        <v>488</v>
      </c>
      <c r="E1147">
        <v>420</v>
      </c>
    </row>
    <row r="1148" spans="1:5" x14ac:dyDescent="0.25">
      <c r="A1148" s="10">
        <v>44418</v>
      </c>
      <c r="B1148">
        <v>304883</v>
      </c>
      <c r="C1148" t="s">
        <v>285</v>
      </c>
      <c r="D1148" t="s">
        <v>489</v>
      </c>
      <c r="E1148">
        <v>436</v>
      </c>
    </row>
    <row r="1149" spans="1:5" x14ac:dyDescent="0.25">
      <c r="A1149" s="10">
        <v>44418</v>
      </c>
      <c r="B1149">
        <v>304887</v>
      </c>
      <c r="C1149" t="s">
        <v>131</v>
      </c>
      <c r="D1149" t="s">
        <v>490</v>
      </c>
      <c r="E1149">
        <v>468</v>
      </c>
    </row>
    <row r="1150" spans="1:5" x14ac:dyDescent="0.25">
      <c r="A1150" s="10">
        <v>44418</v>
      </c>
      <c r="B1150">
        <v>304884</v>
      </c>
      <c r="C1150">
        <v>305177</v>
      </c>
      <c r="D1150" t="s">
        <v>491</v>
      </c>
      <c r="E1150">
        <v>419</v>
      </c>
    </row>
    <row r="1151" spans="1:5" x14ac:dyDescent="0.25">
      <c r="A1151" s="10">
        <v>44418</v>
      </c>
      <c r="B1151">
        <v>304886</v>
      </c>
      <c r="C1151">
        <v>14958</v>
      </c>
      <c r="D1151" t="s">
        <v>492</v>
      </c>
      <c r="E1151">
        <v>421</v>
      </c>
    </row>
    <row r="1152" spans="1:5" x14ac:dyDescent="0.25">
      <c r="A1152" s="10">
        <v>44418</v>
      </c>
      <c r="B1152">
        <v>304881</v>
      </c>
      <c r="C1152" t="s">
        <v>115</v>
      </c>
      <c r="D1152" t="s">
        <v>493</v>
      </c>
      <c r="E1152">
        <v>423</v>
      </c>
    </row>
    <row r="1153" spans="1:5" x14ac:dyDescent="0.25">
      <c r="A1153" s="10">
        <v>44418</v>
      </c>
      <c r="B1153">
        <v>304884</v>
      </c>
      <c r="C1153" t="s">
        <v>143</v>
      </c>
      <c r="D1153" t="s">
        <v>494</v>
      </c>
      <c r="E1153">
        <v>522</v>
      </c>
    </row>
    <row r="1154" spans="1:5" x14ac:dyDescent="0.25">
      <c r="A1154" s="10">
        <v>44418</v>
      </c>
      <c r="B1154">
        <v>304884</v>
      </c>
      <c r="C1154">
        <v>524524</v>
      </c>
      <c r="D1154" t="s">
        <v>495</v>
      </c>
      <c r="E1154">
        <v>524</v>
      </c>
    </row>
    <row r="1155" spans="1:5" x14ac:dyDescent="0.25">
      <c r="A1155" s="10">
        <v>44418</v>
      </c>
      <c r="B1155">
        <v>304884</v>
      </c>
      <c r="C1155" t="s">
        <v>123</v>
      </c>
      <c r="D1155" t="s">
        <v>496</v>
      </c>
      <c r="E1155">
        <v>526</v>
      </c>
    </row>
    <row r="1156" spans="1:5" x14ac:dyDescent="0.25">
      <c r="A1156" s="10">
        <v>44418</v>
      </c>
      <c r="B1156">
        <v>304887</v>
      </c>
      <c r="C1156" t="s">
        <v>103</v>
      </c>
      <c r="D1156" t="s">
        <v>497</v>
      </c>
      <c r="E1156">
        <v>530</v>
      </c>
    </row>
    <row r="1157" spans="1:5" x14ac:dyDescent="0.25">
      <c r="A1157" s="10">
        <v>44418</v>
      </c>
      <c r="B1157">
        <v>304881</v>
      </c>
      <c r="C1157" t="s">
        <v>104</v>
      </c>
      <c r="D1157" t="s">
        <v>498</v>
      </c>
      <c r="E1157">
        <v>532</v>
      </c>
    </row>
    <row r="1158" spans="1:5" x14ac:dyDescent="0.25">
      <c r="A1158" s="10">
        <v>44418</v>
      </c>
      <c r="B1158">
        <v>304881</v>
      </c>
      <c r="C1158" t="s">
        <v>135</v>
      </c>
      <c r="D1158" t="s">
        <v>499</v>
      </c>
      <c r="E1158">
        <v>538</v>
      </c>
    </row>
    <row r="1159" spans="1:5" x14ac:dyDescent="0.25">
      <c r="A1159" s="10">
        <v>44418</v>
      </c>
      <c r="B1159">
        <v>304886</v>
      </c>
      <c r="C1159" t="s">
        <v>106</v>
      </c>
      <c r="D1159" t="s">
        <v>500</v>
      </c>
      <c r="E1159">
        <v>616</v>
      </c>
    </row>
    <row r="1160" spans="1:5" x14ac:dyDescent="0.25">
      <c r="A1160" s="10">
        <v>44418</v>
      </c>
      <c r="B1160">
        <v>304886</v>
      </c>
      <c r="C1160" t="s">
        <v>109</v>
      </c>
      <c r="D1160" t="s">
        <v>501</v>
      </c>
      <c r="E1160">
        <v>654</v>
      </c>
    </row>
    <row r="1161" spans="1:5" x14ac:dyDescent="0.25">
      <c r="A1161" s="10">
        <v>44418</v>
      </c>
      <c r="B1161">
        <v>304886</v>
      </c>
      <c r="C1161" t="s">
        <v>121</v>
      </c>
      <c r="D1161" t="s">
        <v>502</v>
      </c>
      <c r="E1161">
        <v>656</v>
      </c>
    </row>
    <row r="1162" spans="1:5" x14ac:dyDescent="0.25">
      <c r="A1162" s="10">
        <v>44418</v>
      </c>
      <c r="B1162">
        <v>304886</v>
      </c>
      <c r="C1162">
        <v>660</v>
      </c>
      <c r="D1162" t="s">
        <v>503</v>
      </c>
      <c r="E1162">
        <v>660</v>
      </c>
    </row>
    <row r="1163" spans="1:5" x14ac:dyDescent="0.25">
      <c r="A1163" s="10">
        <v>44418</v>
      </c>
      <c r="B1163">
        <v>304886</v>
      </c>
      <c r="C1163">
        <v>668</v>
      </c>
      <c r="D1163" t="s">
        <v>504</v>
      </c>
      <c r="E1163">
        <v>668</v>
      </c>
    </row>
    <row r="1164" spans="1:5" x14ac:dyDescent="0.25">
      <c r="A1164" s="10">
        <v>44418</v>
      </c>
      <c r="B1164">
        <v>304886</v>
      </c>
      <c r="C1164" t="s">
        <v>220</v>
      </c>
      <c r="D1164" t="s">
        <v>505</v>
      </c>
      <c r="E1164">
        <v>615</v>
      </c>
    </row>
    <row r="1165" spans="1:5" x14ac:dyDescent="0.25">
      <c r="A1165" s="10">
        <v>44418</v>
      </c>
      <c r="B1165">
        <v>304914</v>
      </c>
      <c r="C1165" t="s">
        <v>274</v>
      </c>
      <c r="D1165" t="s">
        <v>506</v>
      </c>
      <c r="E1165">
        <v>617</v>
      </c>
    </row>
    <row r="1166" spans="1:5" x14ac:dyDescent="0.25">
      <c r="A1166" s="10">
        <v>44419</v>
      </c>
      <c r="B1166">
        <v>304988</v>
      </c>
      <c r="C1166">
        <v>432600</v>
      </c>
      <c r="D1166" t="s">
        <v>507</v>
      </c>
      <c r="E1166">
        <v>124</v>
      </c>
    </row>
    <row r="1167" spans="1:5" x14ac:dyDescent="0.25">
      <c r="A1167" s="10">
        <v>44419</v>
      </c>
      <c r="B1167">
        <v>304988</v>
      </c>
      <c r="C1167" t="s">
        <v>292</v>
      </c>
      <c r="D1167" t="s">
        <v>508</v>
      </c>
      <c r="E1167">
        <v>128</v>
      </c>
    </row>
    <row r="1168" spans="1:5" x14ac:dyDescent="0.25">
      <c r="A1168" s="10">
        <v>44419</v>
      </c>
      <c r="B1168">
        <v>304886</v>
      </c>
      <c r="C1168" t="s">
        <v>141</v>
      </c>
      <c r="D1168" t="s">
        <v>509</v>
      </c>
      <c r="E1168">
        <v>132</v>
      </c>
    </row>
    <row r="1169" spans="1:5" x14ac:dyDescent="0.25">
      <c r="A1169" s="10">
        <v>44419</v>
      </c>
      <c r="B1169">
        <v>304988</v>
      </c>
      <c r="C1169">
        <v>463876</v>
      </c>
      <c r="D1169" t="s">
        <v>510</v>
      </c>
      <c r="E1169">
        <v>136</v>
      </c>
    </row>
    <row r="1170" spans="1:5" x14ac:dyDescent="0.25">
      <c r="A1170" s="10">
        <v>44419</v>
      </c>
      <c r="B1170">
        <v>304988</v>
      </c>
      <c r="C1170">
        <v>463875</v>
      </c>
      <c r="D1170" t="s">
        <v>511</v>
      </c>
      <c r="E1170">
        <v>140</v>
      </c>
    </row>
    <row r="1171" spans="1:5" x14ac:dyDescent="0.25">
      <c r="A1171" s="10">
        <v>44419</v>
      </c>
      <c r="B1171">
        <v>304887</v>
      </c>
      <c r="C1171">
        <v>326234</v>
      </c>
      <c r="D1171" t="s">
        <v>512</v>
      </c>
      <c r="E1171">
        <v>144</v>
      </c>
    </row>
    <row r="1172" spans="1:5" x14ac:dyDescent="0.25">
      <c r="A1172" s="10">
        <v>44419</v>
      </c>
      <c r="B1172">
        <v>304882</v>
      </c>
      <c r="C1172">
        <v>317397</v>
      </c>
      <c r="D1172" t="s">
        <v>513</v>
      </c>
      <c r="E1172">
        <v>148</v>
      </c>
    </row>
    <row r="1173" spans="1:5" x14ac:dyDescent="0.25">
      <c r="A1173" s="10">
        <v>44419</v>
      </c>
      <c r="B1173">
        <v>304887</v>
      </c>
      <c r="C1173">
        <v>411264</v>
      </c>
      <c r="D1173" t="s">
        <v>514</v>
      </c>
      <c r="E1173">
        <v>152</v>
      </c>
    </row>
    <row r="1174" spans="1:5" x14ac:dyDescent="0.25">
      <c r="A1174" s="10">
        <v>44419</v>
      </c>
      <c r="B1174">
        <v>304887</v>
      </c>
      <c r="C1174">
        <v>420522</v>
      </c>
      <c r="D1174" t="s">
        <v>515</v>
      </c>
      <c r="E1174">
        <v>156</v>
      </c>
    </row>
    <row r="1175" spans="1:5" x14ac:dyDescent="0.25">
      <c r="A1175" s="10">
        <v>44419</v>
      </c>
      <c r="B1175">
        <v>304887</v>
      </c>
      <c r="C1175">
        <v>431154</v>
      </c>
      <c r="D1175" t="s">
        <v>516</v>
      </c>
      <c r="E1175">
        <v>160</v>
      </c>
    </row>
    <row r="1176" spans="1:5" x14ac:dyDescent="0.25">
      <c r="A1176" s="10">
        <v>44419</v>
      </c>
      <c r="B1176">
        <v>304887</v>
      </c>
      <c r="C1176" t="s">
        <v>128</v>
      </c>
      <c r="D1176" t="s">
        <v>517</v>
      </c>
      <c r="E1176">
        <v>162</v>
      </c>
    </row>
    <row r="1177" spans="1:5" x14ac:dyDescent="0.25">
      <c r="A1177" s="10">
        <v>44419</v>
      </c>
      <c r="B1177">
        <v>304887</v>
      </c>
      <c r="C1177" t="s">
        <v>110</v>
      </c>
      <c r="D1177" t="s">
        <v>518</v>
      </c>
      <c r="E1177">
        <v>164</v>
      </c>
    </row>
    <row r="1178" spans="1:5" x14ac:dyDescent="0.25">
      <c r="A1178" s="10">
        <v>44419</v>
      </c>
      <c r="B1178">
        <v>304881</v>
      </c>
      <c r="C1178">
        <v>434748</v>
      </c>
      <c r="D1178" t="s">
        <v>519</v>
      </c>
      <c r="E1178">
        <v>121</v>
      </c>
    </row>
    <row r="1179" spans="1:5" x14ac:dyDescent="0.25">
      <c r="A1179" s="10">
        <v>44419</v>
      </c>
      <c r="B1179">
        <v>304881</v>
      </c>
      <c r="C1179">
        <v>424959</v>
      </c>
      <c r="D1179" t="s">
        <v>520</v>
      </c>
      <c r="E1179">
        <v>125</v>
      </c>
    </row>
    <row r="1180" spans="1:5" x14ac:dyDescent="0.25">
      <c r="A1180" s="10">
        <v>44419</v>
      </c>
      <c r="B1180">
        <v>304887</v>
      </c>
      <c r="C1180">
        <v>417342</v>
      </c>
      <c r="D1180" t="s">
        <v>521</v>
      </c>
      <c r="E1180">
        <v>129</v>
      </c>
    </row>
    <row r="1181" spans="1:5" x14ac:dyDescent="0.25">
      <c r="A1181" s="10">
        <v>44419</v>
      </c>
      <c r="B1181">
        <v>304882</v>
      </c>
      <c r="C1181">
        <v>316421</v>
      </c>
      <c r="D1181" t="s">
        <v>522</v>
      </c>
      <c r="E1181">
        <v>133</v>
      </c>
    </row>
    <row r="1182" spans="1:5" x14ac:dyDescent="0.25">
      <c r="A1182" s="10">
        <v>44419</v>
      </c>
      <c r="B1182">
        <v>304881</v>
      </c>
      <c r="C1182">
        <v>404394</v>
      </c>
      <c r="D1182" t="s">
        <v>523</v>
      </c>
      <c r="E1182">
        <v>137</v>
      </c>
    </row>
    <row r="1183" spans="1:5" x14ac:dyDescent="0.25">
      <c r="A1183" s="10">
        <v>44419</v>
      </c>
      <c r="B1183">
        <v>304887</v>
      </c>
      <c r="C1183">
        <v>409256</v>
      </c>
      <c r="D1183" t="s">
        <v>524</v>
      </c>
      <c r="E1183">
        <v>141</v>
      </c>
    </row>
    <row r="1184" spans="1:5" x14ac:dyDescent="0.25">
      <c r="A1184" s="10">
        <v>44419</v>
      </c>
      <c r="B1184">
        <v>304882</v>
      </c>
      <c r="C1184">
        <v>400398</v>
      </c>
      <c r="D1184" t="s">
        <v>525</v>
      </c>
      <c r="E1184">
        <v>145</v>
      </c>
    </row>
    <row r="1185" spans="1:5" x14ac:dyDescent="0.25">
      <c r="A1185" s="10">
        <v>44419</v>
      </c>
      <c r="B1185">
        <v>304887</v>
      </c>
      <c r="C1185">
        <v>404439</v>
      </c>
      <c r="D1185" t="s">
        <v>526</v>
      </c>
      <c r="E1185">
        <v>149</v>
      </c>
    </row>
    <row r="1186" spans="1:5" x14ac:dyDescent="0.25">
      <c r="A1186" s="10">
        <v>44419</v>
      </c>
      <c r="B1186">
        <v>304887</v>
      </c>
      <c r="C1186">
        <v>417490</v>
      </c>
      <c r="D1186" t="s">
        <v>527</v>
      </c>
      <c r="E1186">
        <v>153</v>
      </c>
    </row>
    <row r="1187" spans="1:5" x14ac:dyDescent="0.25">
      <c r="A1187" s="10">
        <v>44419</v>
      </c>
      <c r="B1187">
        <v>304887</v>
      </c>
      <c r="C1187">
        <v>87502</v>
      </c>
      <c r="D1187" t="s">
        <v>528</v>
      </c>
      <c r="E1187">
        <v>157</v>
      </c>
    </row>
    <row r="1188" spans="1:5" x14ac:dyDescent="0.25">
      <c r="A1188" s="10">
        <v>44419</v>
      </c>
      <c r="B1188">
        <v>304885</v>
      </c>
      <c r="C1188" t="s">
        <v>293</v>
      </c>
      <c r="D1188" t="s">
        <v>529</v>
      </c>
      <c r="E1188">
        <v>161</v>
      </c>
    </row>
    <row r="1189" spans="1:5" x14ac:dyDescent="0.25">
      <c r="A1189" s="10">
        <v>44419</v>
      </c>
      <c r="B1189">
        <v>304882</v>
      </c>
      <c r="C1189">
        <v>320300</v>
      </c>
      <c r="D1189" t="s">
        <v>530</v>
      </c>
      <c r="E1189">
        <v>165</v>
      </c>
    </row>
    <row r="1190" spans="1:5" x14ac:dyDescent="0.25">
      <c r="A1190" s="10">
        <v>44419</v>
      </c>
      <c r="B1190">
        <v>304882</v>
      </c>
      <c r="C1190" t="s">
        <v>111</v>
      </c>
      <c r="D1190" t="s">
        <v>531</v>
      </c>
      <c r="E1190">
        <v>169</v>
      </c>
    </row>
    <row r="1191" spans="1:5" x14ac:dyDescent="0.25">
      <c r="A1191" s="10">
        <v>44419</v>
      </c>
      <c r="B1191">
        <v>304914</v>
      </c>
      <c r="C1191">
        <v>425044</v>
      </c>
      <c r="D1191" t="s">
        <v>532</v>
      </c>
      <c r="E1191">
        <v>224</v>
      </c>
    </row>
    <row r="1192" spans="1:5" x14ac:dyDescent="0.25">
      <c r="A1192" s="10">
        <v>44419</v>
      </c>
      <c r="B1192">
        <v>304914</v>
      </c>
      <c r="C1192">
        <v>425045</v>
      </c>
      <c r="D1192" t="s">
        <v>533</v>
      </c>
      <c r="E1192">
        <v>228</v>
      </c>
    </row>
    <row r="1193" spans="1:5" x14ac:dyDescent="0.25">
      <c r="A1193" s="10">
        <v>44419</v>
      </c>
      <c r="B1193">
        <v>304914</v>
      </c>
      <c r="C1193" t="s">
        <v>92</v>
      </c>
      <c r="D1193" t="s">
        <v>534</v>
      </c>
      <c r="E1193">
        <v>232</v>
      </c>
    </row>
    <row r="1194" spans="1:5" x14ac:dyDescent="0.25">
      <c r="A1194" s="10">
        <v>44419</v>
      </c>
      <c r="B1194">
        <v>304914</v>
      </c>
      <c r="C1194">
        <v>421733</v>
      </c>
      <c r="D1194" t="s">
        <v>535</v>
      </c>
      <c r="E1194">
        <v>236</v>
      </c>
    </row>
    <row r="1195" spans="1:5" x14ac:dyDescent="0.25">
      <c r="A1195" s="10">
        <v>44419</v>
      </c>
      <c r="B1195">
        <v>304914</v>
      </c>
      <c r="C1195">
        <v>421730</v>
      </c>
      <c r="D1195" t="s">
        <v>536</v>
      </c>
      <c r="E1195">
        <v>240</v>
      </c>
    </row>
    <row r="1196" spans="1:5" x14ac:dyDescent="0.25">
      <c r="A1196" s="10">
        <v>44419</v>
      </c>
      <c r="B1196">
        <v>304914</v>
      </c>
      <c r="C1196">
        <v>425046</v>
      </c>
      <c r="D1196" t="s">
        <v>537</v>
      </c>
      <c r="E1196">
        <v>244</v>
      </c>
    </row>
    <row r="1197" spans="1:5" x14ac:dyDescent="0.25">
      <c r="A1197" s="10">
        <v>44419</v>
      </c>
      <c r="B1197">
        <v>304914</v>
      </c>
      <c r="C1197">
        <v>439935</v>
      </c>
      <c r="D1197" t="s">
        <v>538</v>
      </c>
      <c r="E1197">
        <v>248</v>
      </c>
    </row>
    <row r="1198" spans="1:5" x14ac:dyDescent="0.25">
      <c r="A1198" s="10">
        <v>44419</v>
      </c>
      <c r="B1198">
        <v>304914</v>
      </c>
      <c r="C1198" t="s">
        <v>93</v>
      </c>
      <c r="D1198" t="s">
        <v>539</v>
      </c>
      <c r="E1198">
        <v>252</v>
      </c>
    </row>
    <row r="1199" spans="1:5" x14ac:dyDescent="0.25">
      <c r="A1199" s="10">
        <v>44419</v>
      </c>
      <c r="B1199">
        <v>304885</v>
      </c>
      <c r="C1199">
        <v>314162</v>
      </c>
      <c r="D1199" t="s">
        <v>540</v>
      </c>
      <c r="E1199">
        <v>256</v>
      </c>
    </row>
    <row r="1200" spans="1:5" x14ac:dyDescent="0.25">
      <c r="A1200" s="10">
        <v>44419</v>
      </c>
      <c r="B1200">
        <v>304914</v>
      </c>
      <c r="C1200" t="s">
        <v>94</v>
      </c>
      <c r="D1200" t="s">
        <v>541</v>
      </c>
      <c r="E1200">
        <v>260</v>
      </c>
    </row>
    <row r="1201" spans="1:5" x14ac:dyDescent="0.25">
      <c r="A1201" s="10">
        <v>44419</v>
      </c>
      <c r="B1201">
        <v>304914</v>
      </c>
      <c r="C1201">
        <v>262262</v>
      </c>
      <c r="D1201" t="s">
        <v>542</v>
      </c>
      <c r="E1201">
        <v>262</v>
      </c>
    </row>
    <row r="1202" spans="1:5" x14ac:dyDescent="0.25">
      <c r="A1202" s="10">
        <v>44419</v>
      </c>
      <c r="B1202">
        <v>304914</v>
      </c>
      <c r="C1202" t="s">
        <v>124</v>
      </c>
      <c r="D1202" t="s">
        <v>543</v>
      </c>
      <c r="E1202">
        <v>264</v>
      </c>
    </row>
    <row r="1203" spans="1:5" x14ac:dyDescent="0.25">
      <c r="A1203" s="10">
        <v>44419</v>
      </c>
      <c r="B1203">
        <v>304884</v>
      </c>
      <c r="C1203">
        <v>99450</v>
      </c>
      <c r="D1203" t="s">
        <v>544</v>
      </c>
      <c r="E1203">
        <v>221</v>
      </c>
    </row>
    <row r="1204" spans="1:5" x14ac:dyDescent="0.25">
      <c r="A1204" s="10">
        <v>44419</v>
      </c>
      <c r="B1204">
        <v>304884</v>
      </c>
      <c r="C1204">
        <v>403441</v>
      </c>
      <c r="D1204" t="s">
        <v>545</v>
      </c>
      <c r="E1204">
        <v>225</v>
      </c>
    </row>
    <row r="1205" spans="1:5" x14ac:dyDescent="0.25">
      <c r="A1205" s="10">
        <v>44419</v>
      </c>
      <c r="B1205">
        <v>304884</v>
      </c>
      <c r="C1205">
        <v>86159</v>
      </c>
      <c r="D1205" t="s">
        <v>546</v>
      </c>
      <c r="E1205">
        <v>229</v>
      </c>
    </row>
    <row r="1206" spans="1:5" x14ac:dyDescent="0.25">
      <c r="A1206" s="10">
        <v>44419</v>
      </c>
      <c r="B1206">
        <v>304988</v>
      </c>
      <c r="C1206">
        <v>303354</v>
      </c>
      <c r="D1206" t="s">
        <v>547</v>
      </c>
      <c r="E1206">
        <v>233</v>
      </c>
    </row>
    <row r="1207" spans="1:5" x14ac:dyDescent="0.25">
      <c r="A1207" s="10">
        <v>44419</v>
      </c>
      <c r="B1207">
        <v>304988</v>
      </c>
      <c r="C1207">
        <v>85227</v>
      </c>
      <c r="D1207" t="s">
        <v>548</v>
      </c>
      <c r="E1207">
        <v>237</v>
      </c>
    </row>
    <row r="1208" spans="1:5" x14ac:dyDescent="0.25">
      <c r="A1208" s="10">
        <v>44419</v>
      </c>
      <c r="B1208">
        <v>304884</v>
      </c>
      <c r="C1208">
        <v>423185</v>
      </c>
      <c r="D1208" t="s">
        <v>549</v>
      </c>
      <c r="E1208">
        <v>241</v>
      </c>
    </row>
    <row r="1209" spans="1:5" x14ac:dyDescent="0.25">
      <c r="A1209" s="10">
        <v>44419</v>
      </c>
      <c r="B1209">
        <v>304882</v>
      </c>
      <c r="C1209">
        <v>316420</v>
      </c>
      <c r="D1209" t="s">
        <v>550</v>
      </c>
      <c r="E1209">
        <v>245</v>
      </c>
    </row>
    <row r="1210" spans="1:5" x14ac:dyDescent="0.25">
      <c r="A1210" s="10">
        <v>44419</v>
      </c>
      <c r="B1210">
        <v>304884</v>
      </c>
      <c r="C1210">
        <v>314246</v>
      </c>
      <c r="D1210" t="s">
        <v>551</v>
      </c>
      <c r="E1210">
        <v>249</v>
      </c>
    </row>
    <row r="1211" spans="1:5" x14ac:dyDescent="0.25">
      <c r="A1211" s="10">
        <v>44419</v>
      </c>
      <c r="B1211">
        <v>304884</v>
      </c>
      <c r="C1211" t="s">
        <v>242</v>
      </c>
      <c r="D1211" t="s">
        <v>552</v>
      </c>
      <c r="E1211">
        <v>253</v>
      </c>
    </row>
    <row r="1212" spans="1:5" x14ac:dyDescent="0.25">
      <c r="A1212" s="10">
        <v>44419</v>
      </c>
      <c r="B1212">
        <v>304884</v>
      </c>
      <c r="C1212">
        <v>412800</v>
      </c>
      <c r="D1212" t="s">
        <v>553</v>
      </c>
      <c r="E1212">
        <v>257</v>
      </c>
    </row>
    <row r="1213" spans="1:5" x14ac:dyDescent="0.25">
      <c r="A1213" s="10">
        <v>44419</v>
      </c>
      <c r="B1213">
        <v>304884</v>
      </c>
      <c r="C1213">
        <v>328267</v>
      </c>
      <c r="D1213" t="s">
        <v>554</v>
      </c>
      <c r="E1213">
        <v>261</v>
      </c>
    </row>
    <row r="1214" spans="1:5" x14ac:dyDescent="0.25">
      <c r="A1214" s="10">
        <v>44419</v>
      </c>
      <c r="B1214">
        <v>304882</v>
      </c>
      <c r="C1214">
        <v>317398</v>
      </c>
      <c r="D1214" t="s">
        <v>555</v>
      </c>
      <c r="E1214">
        <v>265</v>
      </c>
    </row>
    <row r="1215" spans="1:5" x14ac:dyDescent="0.25">
      <c r="A1215" s="10">
        <v>44419</v>
      </c>
      <c r="B1215">
        <v>304883</v>
      </c>
      <c r="C1215" t="s">
        <v>149</v>
      </c>
      <c r="D1215" t="s">
        <v>556</v>
      </c>
      <c r="E1215">
        <v>324</v>
      </c>
    </row>
    <row r="1216" spans="1:5" x14ac:dyDescent="0.25">
      <c r="A1216" s="10">
        <v>44419</v>
      </c>
      <c r="B1216">
        <v>304885</v>
      </c>
      <c r="C1216">
        <v>86415</v>
      </c>
      <c r="D1216" t="s">
        <v>557</v>
      </c>
      <c r="E1216">
        <v>328</v>
      </c>
    </row>
    <row r="1217" spans="1:5" x14ac:dyDescent="0.25">
      <c r="A1217" s="10">
        <v>44419</v>
      </c>
      <c r="B1217">
        <v>304883</v>
      </c>
      <c r="C1217" t="s">
        <v>145</v>
      </c>
      <c r="D1217" t="s">
        <v>558</v>
      </c>
      <c r="E1217">
        <v>332</v>
      </c>
    </row>
    <row r="1218" spans="1:5" x14ac:dyDescent="0.25">
      <c r="A1218" s="10">
        <v>44419</v>
      </c>
      <c r="B1218">
        <v>304885</v>
      </c>
      <c r="C1218">
        <v>87750</v>
      </c>
      <c r="D1218" t="s">
        <v>559</v>
      </c>
      <c r="E1218">
        <v>336</v>
      </c>
    </row>
    <row r="1219" spans="1:5" x14ac:dyDescent="0.25">
      <c r="A1219" s="10">
        <v>44419</v>
      </c>
      <c r="B1219">
        <v>304886</v>
      </c>
      <c r="C1219">
        <v>405337</v>
      </c>
      <c r="D1219" t="s">
        <v>560</v>
      </c>
      <c r="E1219">
        <v>340</v>
      </c>
    </row>
    <row r="1220" spans="1:5" x14ac:dyDescent="0.25">
      <c r="A1220" s="10">
        <v>44419</v>
      </c>
      <c r="B1220">
        <v>304881</v>
      </c>
      <c r="C1220">
        <v>461887</v>
      </c>
      <c r="D1220" t="s">
        <v>561</v>
      </c>
      <c r="E1220">
        <v>344</v>
      </c>
    </row>
    <row r="1221" spans="1:5" x14ac:dyDescent="0.25">
      <c r="A1221" s="10">
        <v>44419</v>
      </c>
      <c r="B1221">
        <v>304881</v>
      </c>
      <c r="C1221" t="s">
        <v>244</v>
      </c>
      <c r="D1221" t="s">
        <v>562</v>
      </c>
      <c r="E1221">
        <v>348</v>
      </c>
    </row>
    <row r="1222" spans="1:5" x14ac:dyDescent="0.25">
      <c r="A1222" s="10">
        <v>44419</v>
      </c>
      <c r="B1222">
        <v>304881</v>
      </c>
      <c r="C1222">
        <v>461885</v>
      </c>
      <c r="D1222" t="s">
        <v>563</v>
      </c>
      <c r="E1222">
        <v>352</v>
      </c>
    </row>
    <row r="1223" spans="1:5" x14ac:dyDescent="0.25">
      <c r="A1223" s="10">
        <v>44419</v>
      </c>
      <c r="B1223">
        <v>304881</v>
      </c>
      <c r="C1223">
        <v>434749</v>
      </c>
      <c r="D1223" t="s">
        <v>564</v>
      </c>
      <c r="E1223">
        <v>356</v>
      </c>
    </row>
    <row r="1224" spans="1:5" x14ac:dyDescent="0.25">
      <c r="A1224" s="10">
        <v>44419</v>
      </c>
      <c r="B1224">
        <v>304881</v>
      </c>
      <c r="C1224">
        <v>362362</v>
      </c>
      <c r="D1224" t="s">
        <v>565</v>
      </c>
      <c r="E1224">
        <v>362</v>
      </c>
    </row>
    <row r="1225" spans="1:5" x14ac:dyDescent="0.25">
      <c r="A1225" s="10">
        <v>44419</v>
      </c>
      <c r="B1225">
        <v>304881</v>
      </c>
      <c r="C1225" t="s">
        <v>112</v>
      </c>
      <c r="D1225" t="s">
        <v>566</v>
      </c>
      <c r="E1225">
        <v>366</v>
      </c>
    </row>
    <row r="1226" spans="1:5" x14ac:dyDescent="0.25">
      <c r="A1226" s="10">
        <v>44419</v>
      </c>
      <c r="B1226">
        <v>304881</v>
      </c>
      <c r="C1226" t="s">
        <v>97</v>
      </c>
      <c r="D1226" t="s">
        <v>567</v>
      </c>
      <c r="E1226">
        <v>368</v>
      </c>
    </row>
    <row r="1227" spans="1:5" x14ac:dyDescent="0.25">
      <c r="A1227" s="10">
        <v>44419</v>
      </c>
      <c r="B1227">
        <v>304885</v>
      </c>
      <c r="C1227" t="s">
        <v>122</v>
      </c>
      <c r="D1227" t="s">
        <v>568</v>
      </c>
      <c r="E1227">
        <v>370</v>
      </c>
    </row>
    <row r="1228" spans="1:5" x14ac:dyDescent="0.25">
      <c r="A1228" s="10">
        <v>44419</v>
      </c>
      <c r="B1228">
        <v>304882</v>
      </c>
      <c r="C1228" t="s">
        <v>98</v>
      </c>
      <c r="D1228" t="s">
        <v>569</v>
      </c>
      <c r="E1228">
        <v>376</v>
      </c>
    </row>
    <row r="1229" spans="1:5" x14ac:dyDescent="0.25">
      <c r="A1229" s="10">
        <v>44419</v>
      </c>
      <c r="B1229">
        <v>304883</v>
      </c>
      <c r="C1229" t="s">
        <v>294</v>
      </c>
      <c r="D1229" t="s">
        <v>570</v>
      </c>
      <c r="E1229">
        <v>321</v>
      </c>
    </row>
    <row r="1230" spans="1:5" x14ac:dyDescent="0.25">
      <c r="A1230" s="10">
        <v>44419</v>
      </c>
      <c r="B1230">
        <v>304883</v>
      </c>
      <c r="C1230" t="s">
        <v>295</v>
      </c>
      <c r="D1230" t="s">
        <v>571</v>
      </c>
      <c r="E1230">
        <v>325</v>
      </c>
    </row>
    <row r="1231" spans="1:5" x14ac:dyDescent="0.25">
      <c r="A1231" s="10">
        <v>44419</v>
      </c>
      <c r="B1231">
        <v>304883</v>
      </c>
      <c r="C1231">
        <v>99443</v>
      </c>
      <c r="D1231" t="s">
        <v>572</v>
      </c>
      <c r="E1231">
        <v>333</v>
      </c>
    </row>
    <row r="1232" spans="1:5" x14ac:dyDescent="0.25">
      <c r="A1232" s="10">
        <v>44419</v>
      </c>
      <c r="B1232">
        <v>304883</v>
      </c>
      <c r="C1232">
        <v>310821</v>
      </c>
      <c r="D1232" t="s">
        <v>573</v>
      </c>
      <c r="E1232">
        <v>337</v>
      </c>
    </row>
    <row r="1233" spans="1:5" x14ac:dyDescent="0.25">
      <c r="A1233" s="10">
        <v>44419</v>
      </c>
      <c r="B1233">
        <v>304883</v>
      </c>
      <c r="C1233">
        <v>432598</v>
      </c>
      <c r="D1233" t="s">
        <v>574</v>
      </c>
      <c r="E1233">
        <v>341</v>
      </c>
    </row>
    <row r="1234" spans="1:5" x14ac:dyDescent="0.25">
      <c r="A1234" s="10">
        <v>44419</v>
      </c>
      <c r="B1234">
        <v>304885</v>
      </c>
      <c r="C1234">
        <v>402666</v>
      </c>
      <c r="D1234" t="s">
        <v>575</v>
      </c>
      <c r="E1234">
        <v>345</v>
      </c>
    </row>
    <row r="1235" spans="1:5" x14ac:dyDescent="0.25">
      <c r="A1235" s="10">
        <v>44419</v>
      </c>
      <c r="B1235">
        <v>304885</v>
      </c>
      <c r="C1235">
        <v>414479</v>
      </c>
      <c r="D1235" t="s">
        <v>576</v>
      </c>
      <c r="E1235">
        <v>349</v>
      </c>
    </row>
    <row r="1236" spans="1:5" x14ac:dyDescent="0.25">
      <c r="A1236" s="10">
        <v>44419</v>
      </c>
      <c r="B1236">
        <v>304885</v>
      </c>
      <c r="C1236">
        <v>87376</v>
      </c>
      <c r="D1236" t="s">
        <v>577</v>
      </c>
      <c r="E1236">
        <v>353</v>
      </c>
    </row>
    <row r="1237" spans="1:5" x14ac:dyDescent="0.25">
      <c r="A1237" s="10">
        <v>44419</v>
      </c>
      <c r="B1237">
        <v>304885</v>
      </c>
      <c r="C1237">
        <v>320665</v>
      </c>
      <c r="D1237" t="s">
        <v>578</v>
      </c>
      <c r="E1237">
        <v>357</v>
      </c>
    </row>
    <row r="1238" spans="1:5" x14ac:dyDescent="0.25">
      <c r="A1238" s="10">
        <v>44419</v>
      </c>
      <c r="B1238">
        <v>304881</v>
      </c>
      <c r="C1238">
        <v>461886</v>
      </c>
      <c r="D1238" t="s">
        <v>579</v>
      </c>
      <c r="E1238">
        <v>361</v>
      </c>
    </row>
    <row r="1239" spans="1:5" x14ac:dyDescent="0.25">
      <c r="A1239" s="10">
        <v>44419</v>
      </c>
      <c r="B1239">
        <v>304881</v>
      </c>
      <c r="C1239">
        <v>320763</v>
      </c>
      <c r="D1239" t="s">
        <v>580</v>
      </c>
      <c r="E1239">
        <v>365</v>
      </c>
    </row>
    <row r="1240" spans="1:5" x14ac:dyDescent="0.25">
      <c r="A1240" s="10">
        <v>44419</v>
      </c>
      <c r="B1240">
        <v>304881</v>
      </c>
      <c r="C1240" t="s">
        <v>213</v>
      </c>
      <c r="D1240" t="s">
        <v>581</v>
      </c>
      <c r="E1240">
        <v>369</v>
      </c>
    </row>
    <row r="1241" spans="1:5" x14ac:dyDescent="0.25">
      <c r="A1241" s="10">
        <v>44419</v>
      </c>
      <c r="B1241">
        <v>304887</v>
      </c>
      <c r="C1241" t="s">
        <v>214</v>
      </c>
      <c r="D1241" t="s">
        <v>582</v>
      </c>
      <c r="E1241">
        <v>420</v>
      </c>
    </row>
    <row r="1242" spans="1:5" x14ac:dyDescent="0.25">
      <c r="A1242" s="10">
        <v>44419</v>
      </c>
      <c r="B1242">
        <v>304883</v>
      </c>
      <c r="C1242" t="s">
        <v>296</v>
      </c>
      <c r="D1242" t="s">
        <v>583</v>
      </c>
      <c r="E1242">
        <v>436</v>
      </c>
    </row>
    <row r="1243" spans="1:5" x14ac:dyDescent="0.25">
      <c r="A1243" s="10">
        <v>44419</v>
      </c>
      <c r="B1243">
        <v>304887</v>
      </c>
      <c r="C1243" t="s">
        <v>114</v>
      </c>
      <c r="D1243" t="s">
        <v>584</v>
      </c>
      <c r="E1243">
        <v>468</v>
      </c>
    </row>
    <row r="1244" spans="1:5" x14ac:dyDescent="0.25">
      <c r="A1244" s="10">
        <v>44419</v>
      </c>
      <c r="B1244">
        <v>304887</v>
      </c>
      <c r="C1244" t="s">
        <v>297</v>
      </c>
      <c r="D1244" t="s">
        <v>585</v>
      </c>
      <c r="E1244">
        <v>470</v>
      </c>
    </row>
    <row r="1245" spans="1:5" x14ac:dyDescent="0.25">
      <c r="A1245" s="10">
        <v>44419</v>
      </c>
      <c r="B1245">
        <v>304882</v>
      </c>
      <c r="C1245">
        <v>115115</v>
      </c>
      <c r="D1245" t="s">
        <v>586</v>
      </c>
      <c r="E1245">
        <v>472</v>
      </c>
    </row>
    <row r="1246" spans="1:5" x14ac:dyDescent="0.25">
      <c r="A1246" s="10">
        <v>44419</v>
      </c>
      <c r="B1246">
        <v>304884</v>
      </c>
      <c r="C1246" t="s">
        <v>298</v>
      </c>
      <c r="D1246" t="s">
        <v>587</v>
      </c>
      <c r="E1246">
        <v>419</v>
      </c>
    </row>
    <row r="1247" spans="1:5" x14ac:dyDescent="0.25">
      <c r="A1247" s="10">
        <v>44419</v>
      </c>
      <c r="B1247">
        <v>304886</v>
      </c>
      <c r="C1247" t="s">
        <v>299</v>
      </c>
      <c r="D1247" t="s">
        <v>588</v>
      </c>
      <c r="E1247">
        <v>421</v>
      </c>
    </row>
    <row r="1248" spans="1:5" x14ac:dyDescent="0.25">
      <c r="A1248" s="10">
        <v>44419</v>
      </c>
      <c r="B1248">
        <v>304881</v>
      </c>
      <c r="C1248" t="s">
        <v>115</v>
      </c>
      <c r="D1248" t="s">
        <v>589</v>
      </c>
      <c r="E1248">
        <v>423</v>
      </c>
    </row>
    <row r="1249" spans="1:5" x14ac:dyDescent="0.25">
      <c r="A1249" s="10">
        <v>44419</v>
      </c>
      <c r="B1249">
        <v>304883</v>
      </c>
      <c r="C1249" t="s">
        <v>160</v>
      </c>
      <c r="D1249" t="s">
        <v>590</v>
      </c>
      <c r="E1249">
        <v>425</v>
      </c>
    </row>
    <row r="1250" spans="1:5" x14ac:dyDescent="0.25">
      <c r="A1250" s="10">
        <v>44419</v>
      </c>
      <c r="B1250">
        <v>304884</v>
      </c>
      <c r="C1250" t="s">
        <v>250</v>
      </c>
      <c r="D1250" t="s">
        <v>591</v>
      </c>
      <c r="E1250">
        <v>522</v>
      </c>
    </row>
    <row r="1251" spans="1:5" x14ac:dyDescent="0.25">
      <c r="A1251" s="10">
        <v>44419</v>
      </c>
      <c r="B1251">
        <v>304884</v>
      </c>
      <c r="C1251">
        <v>524524</v>
      </c>
      <c r="D1251" t="s">
        <v>592</v>
      </c>
      <c r="E1251">
        <v>524</v>
      </c>
    </row>
    <row r="1252" spans="1:5" x14ac:dyDescent="0.25">
      <c r="A1252" s="10">
        <v>44419</v>
      </c>
      <c r="B1252">
        <v>304884</v>
      </c>
      <c r="C1252" t="s">
        <v>136</v>
      </c>
      <c r="D1252" t="s">
        <v>593</v>
      </c>
      <c r="E1252">
        <v>526</v>
      </c>
    </row>
    <row r="1253" spans="1:5" x14ac:dyDescent="0.25">
      <c r="A1253" s="10">
        <v>44419</v>
      </c>
      <c r="B1253">
        <v>304887</v>
      </c>
      <c r="C1253" t="s">
        <v>103</v>
      </c>
      <c r="D1253" t="s">
        <v>594</v>
      </c>
      <c r="E1253">
        <v>530</v>
      </c>
    </row>
    <row r="1254" spans="1:5" x14ac:dyDescent="0.25">
      <c r="A1254" s="10">
        <v>44419</v>
      </c>
      <c r="B1254">
        <v>304881</v>
      </c>
      <c r="C1254" t="s">
        <v>104</v>
      </c>
      <c r="D1254" t="s">
        <v>595</v>
      </c>
      <c r="E1254">
        <v>532</v>
      </c>
    </row>
    <row r="1255" spans="1:5" x14ac:dyDescent="0.25">
      <c r="A1255" s="10">
        <v>44419</v>
      </c>
      <c r="B1255">
        <v>304881</v>
      </c>
      <c r="C1255" t="s">
        <v>135</v>
      </c>
      <c r="D1255" t="s">
        <v>596</v>
      </c>
      <c r="E1255">
        <v>538</v>
      </c>
    </row>
    <row r="1256" spans="1:5" x14ac:dyDescent="0.25">
      <c r="A1256" s="10">
        <v>44419</v>
      </c>
      <c r="B1256">
        <v>304886</v>
      </c>
      <c r="C1256" t="s">
        <v>106</v>
      </c>
      <c r="D1256" t="s">
        <v>597</v>
      </c>
      <c r="E1256">
        <v>616</v>
      </c>
    </row>
    <row r="1257" spans="1:5" x14ac:dyDescent="0.25">
      <c r="A1257" s="10">
        <v>44419</v>
      </c>
      <c r="B1257">
        <v>304914</v>
      </c>
      <c r="C1257" t="s">
        <v>107</v>
      </c>
      <c r="D1257" t="s">
        <v>598</v>
      </c>
      <c r="E1257">
        <v>640</v>
      </c>
    </row>
    <row r="1258" spans="1:5" x14ac:dyDescent="0.25">
      <c r="A1258" s="10">
        <v>44419</v>
      </c>
      <c r="B1258">
        <v>304886</v>
      </c>
      <c r="C1258" t="s">
        <v>109</v>
      </c>
      <c r="D1258" t="s">
        <v>599</v>
      </c>
      <c r="E1258">
        <v>654</v>
      </c>
    </row>
    <row r="1259" spans="1:5" x14ac:dyDescent="0.25">
      <c r="A1259" s="10">
        <v>44419</v>
      </c>
      <c r="B1259">
        <v>304886</v>
      </c>
      <c r="C1259" t="s">
        <v>121</v>
      </c>
      <c r="D1259" t="s">
        <v>600</v>
      </c>
      <c r="E1259">
        <v>656</v>
      </c>
    </row>
    <row r="1260" spans="1:5" x14ac:dyDescent="0.25">
      <c r="A1260" s="10">
        <v>44419</v>
      </c>
      <c r="B1260">
        <v>304886</v>
      </c>
      <c r="C1260" t="s">
        <v>117</v>
      </c>
      <c r="D1260" t="s">
        <v>601</v>
      </c>
      <c r="E1260">
        <v>660</v>
      </c>
    </row>
    <row r="1261" spans="1:5" x14ac:dyDescent="0.25">
      <c r="A1261" s="10">
        <v>44419</v>
      </c>
      <c r="B1261">
        <v>304886</v>
      </c>
      <c r="C1261" t="s">
        <v>220</v>
      </c>
      <c r="D1261" t="s">
        <v>602</v>
      </c>
      <c r="E1261">
        <v>615</v>
      </c>
    </row>
    <row r="1262" spans="1:5" x14ac:dyDescent="0.25">
      <c r="A1262" s="10">
        <v>44419</v>
      </c>
      <c r="B1262">
        <v>304914</v>
      </c>
      <c r="C1262" t="s">
        <v>274</v>
      </c>
      <c r="D1262" t="s">
        <v>603</v>
      </c>
      <c r="E1262">
        <v>617</v>
      </c>
    </row>
    <row r="1263" spans="1:5" x14ac:dyDescent="0.25">
      <c r="A1263" s="10">
        <v>44419</v>
      </c>
      <c r="B1263">
        <v>304881</v>
      </c>
      <c r="C1263">
        <v>655</v>
      </c>
      <c r="D1263" t="s">
        <v>604</v>
      </c>
      <c r="E1263">
        <v>655</v>
      </c>
    </row>
    <row r="1264" spans="1:5" x14ac:dyDescent="0.25">
      <c r="A1264" s="10">
        <v>44420</v>
      </c>
      <c r="B1264">
        <v>304988</v>
      </c>
      <c r="C1264">
        <v>432600</v>
      </c>
      <c r="D1264" t="s">
        <v>605</v>
      </c>
      <c r="E1264">
        <v>124</v>
      </c>
    </row>
    <row r="1265" spans="1:5" x14ac:dyDescent="0.25">
      <c r="A1265" s="10">
        <v>44420</v>
      </c>
      <c r="B1265">
        <v>304988</v>
      </c>
      <c r="C1265">
        <v>432595</v>
      </c>
      <c r="D1265" t="s">
        <v>606</v>
      </c>
      <c r="E1265">
        <v>128</v>
      </c>
    </row>
    <row r="1266" spans="1:5" x14ac:dyDescent="0.25">
      <c r="A1266" s="10">
        <v>44420</v>
      </c>
      <c r="B1266">
        <v>304886</v>
      </c>
      <c r="C1266" t="s">
        <v>304</v>
      </c>
      <c r="D1266" t="s">
        <v>607</v>
      </c>
      <c r="E1266">
        <v>132</v>
      </c>
    </row>
    <row r="1267" spans="1:5" x14ac:dyDescent="0.25">
      <c r="A1267" s="10">
        <v>44420</v>
      </c>
      <c r="B1267">
        <v>304988</v>
      </c>
      <c r="C1267" t="s">
        <v>305</v>
      </c>
      <c r="D1267" t="s">
        <v>608</v>
      </c>
      <c r="E1267">
        <v>136</v>
      </c>
    </row>
    <row r="1268" spans="1:5" x14ac:dyDescent="0.25">
      <c r="A1268" s="10">
        <v>44420</v>
      </c>
      <c r="B1268">
        <v>304988</v>
      </c>
      <c r="C1268">
        <v>463875</v>
      </c>
      <c r="D1268" t="s">
        <v>609</v>
      </c>
      <c r="E1268">
        <v>140</v>
      </c>
    </row>
    <row r="1269" spans="1:5" x14ac:dyDescent="0.25">
      <c r="A1269" s="10">
        <v>44420</v>
      </c>
      <c r="B1269">
        <v>304887</v>
      </c>
      <c r="C1269">
        <v>326234</v>
      </c>
      <c r="D1269" t="s">
        <v>610</v>
      </c>
      <c r="E1269">
        <v>144</v>
      </c>
    </row>
    <row r="1270" spans="1:5" x14ac:dyDescent="0.25">
      <c r="A1270" s="10">
        <v>44420</v>
      </c>
      <c r="B1270">
        <v>304882</v>
      </c>
      <c r="C1270">
        <v>317397</v>
      </c>
      <c r="D1270" t="s">
        <v>611</v>
      </c>
      <c r="E1270">
        <v>148</v>
      </c>
    </row>
    <row r="1271" spans="1:5" x14ac:dyDescent="0.25">
      <c r="A1271" s="10">
        <v>44420</v>
      </c>
      <c r="B1271">
        <v>304887</v>
      </c>
      <c r="C1271">
        <v>411264</v>
      </c>
      <c r="D1271" t="s">
        <v>612</v>
      </c>
      <c r="E1271">
        <v>152</v>
      </c>
    </row>
    <row r="1272" spans="1:5" x14ac:dyDescent="0.25">
      <c r="A1272" s="10">
        <v>44420</v>
      </c>
      <c r="B1272">
        <v>304887</v>
      </c>
      <c r="C1272">
        <v>420522</v>
      </c>
      <c r="D1272" t="s">
        <v>613</v>
      </c>
      <c r="E1272">
        <v>156</v>
      </c>
    </row>
    <row r="1273" spans="1:5" x14ac:dyDescent="0.25">
      <c r="A1273" s="10">
        <v>44420</v>
      </c>
      <c r="B1273">
        <v>304887</v>
      </c>
      <c r="C1273">
        <v>431154</v>
      </c>
      <c r="D1273" t="s">
        <v>614</v>
      </c>
      <c r="E1273">
        <v>160</v>
      </c>
    </row>
    <row r="1274" spans="1:5" x14ac:dyDescent="0.25">
      <c r="A1274" s="10">
        <v>44420</v>
      </c>
      <c r="B1274">
        <v>304887</v>
      </c>
      <c r="C1274" t="s">
        <v>128</v>
      </c>
      <c r="D1274" t="s">
        <v>615</v>
      </c>
      <c r="E1274">
        <v>162</v>
      </c>
    </row>
    <row r="1275" spans="1:5" x14ac:dyDescent="0.25">
      <c r="A1275" s="10">
        <v>44420</v>
      </c>
      <c r="B1275">
        <v>304887</v>
      </c>
      <c r="C1275" t="s">
        <v>110</v>
      </c>
      <c r="D1275" t="s">
        <v>616</v>
      </c>
      <c r="E1275">
        <v>164</v>
      </c>
    </row>
    <row r="1276" spans="1:5" x14ac:dyDescent="0.25">
      <c r="A1276" s="10">
        <v>44420</v>
      </c>
      <c r="B1276">
        <v>304881</v>
      </c>
      <c r="C1276">
        <v>434748</v>
      </c>
      <c r="D1276" t="s">
        <v>617</v>
      </c>
      <c r="E1276">
        <v>121</v>
      </c>
    </row>
    <row r="1277" spans="1:5" x14ac:dyDescent="0.25">
      <c r="A1277" s="10">
        <v>44420</v>
      </c>
      <c r="B1277">
        <v>304881</v>
      </c>
      <c r="C1277">
        <v>424959</v>
      </c>
      <c r="D1277" t="s">
        <v>618</v>
      </c>
      <c r="E1277">
        <v>125</v>
      </c>
    </row>
    <row r="1278" spans="1:5" x14ac:dyDescent="0.25">
      <c r="A1278" s="10">
        <v>44420</v>
      </c>
      <c r="B1278">
        <v>304887</v>
      </c>
      <c r="C1278">
        <v>417342</v>
      </c>
      <c r="D1278" t="s">
        <v>619</v>
      </c>
      <c r="E1278">
        <v>129</v>
      </c>
    </row>
    <row r="1279" spans="1:5" x14ac:dyDescent="0.25">
      <c r="A1279" s="10">
        <v>44420</v>
      </c>
      <c r="B1279">
        <v>304882</v>
      </c>
      <c r="C1279">
        <v>316421</v>
      </c>
      <c r="D1279" t="s">
        <v>620</v>
      </c>
      <c r="E1279">
        <v>133</v>
      </c>
    </row>
    <row r="1280" spans="1:5" x14ac:dyDescent="0.25">
      <c r="A1280" s="10">
        <v>44420</v>
      </c>
      <c r="B1280">
        <v>304881</v>
      </c>
      <c r="C1280">
        <v>404394</v>
      </c>
      <c r="D1280" t="s">
        <v>621</v>
      </c>
      <c r="E1280">
        <v>137</v>
      </c>
    </row>
    <row r="1281" spans="1:5" x14ac:dyDescent="0.25">
      <c r="A1281" s="10">
        <v>44420</v>
      </c>
      <c r="B1281">
        <v>304887</v>
      </c>
      <c r="C1281">
        <v>409256</v>
      </c>
      <c r="D1281" t="s">
        <v>622</v>
      </c>
      <c r="E1281">
        <v>141</v>
      </c>
    </row>
    <row r="1282" spans="1:5" x14ac:dyDescent="0.25">
      <c r="A1282" s="10">
        <v>44420</v>
      </c>
      <c r="B1282">
        <v>304882</v>
      </c>
      <c r="C1282">
        <v>400398</v>
      </c>
      <c r="D1282" t="s">
        <v>623</v>
      </c>
      <c r="E1282">
        <v>145</v>
      </c>
    </row>
    <row r="1283" spans="1:5" x14ac:dyDescent="0.25">
      <c r="A1283" s="10">
        <v>44420</v>
      </c>
      <c r="B1283">
        <v>304887</v>
      </c>
      <c r="C1283">
        <v>404439</v>
      </c>
      <c r="D1283" t="s">
        <v>624</v>
      </c>
      <c r="E1283">
        <v>149</v>
      </c>
    </row>
    <row r="1284" spans="1:5" x14ac:dyDescent="0.25">
      <c r="A1284" s="10">
        <v>44420</v>
      </c>
      <c r="B1284">
        <v>304887</v>
      </c>
      <c r="C1284">
        <v>417490</v>
      </c>
      <c r="D1284" t="s">
        <v>625</v>
      </c>
      <c r="E1284">
        <v>153</v>
      </c>
    </row>
    <row r="1285" spans="1:5" x14ac:dyDescent="0.25">
      <c r="A1285" s="10">
        <v>44420</v>
      </c>
      <c r="B1285">
        <v>304887</v>
      </c>
      <c r="C1285">
        <v>87502</v>
      </c>
      <c r="D1285" t="s">
        <v>626</v>
      </c>
      <c r="E1285">
        <v>157</v>
      </c>
    </row>
    <row r="1286" spans="1:5" x14ac:dyDescent="0.25">
      <c r="A1286" s="10">
        <v>44420</v>
      </c>
      <c r="B1286">
        <v>304885</v>
      </c>
      <c r="C1286">
        <v>461696</v>
      </c>
      <c r="D1286" t="s">
        <v>627</v>
      </c>
      <c r="E1286">
        <v>161</v>
      </c>
    </row>
    <row r="1287" spans="1:5" x14ac:dyDescent="0.25">
      <c r="A1287" s="10">
        <v>44420</v>
      </c>
      <c r="B1287">
        <v>304882</v>
      </c>
      <c r="C1287">
        <v>320300</v>
      </c>
      <c r="D1287" t="s">
        <v>628</v>
      </c>
      <c r="E1287">
        <v>165</v>
      </c>
    </row>
    <row r="1288" spans="1:5" x14ac:dyDescent="0.25">
      <c r="A1288" s="10">
        <v>44420</v>
      </c>
      <c r="B1288">
        <v>304882</v>
      </c>
      <c r="C1288" t="s">
        <v>111</v>
      </c>
      <c r="D1288" t="s">
        <v>629</v>
      </c>
      <c r="E1288">
        <v>169</v>
      </c>
    </row>
    <row r="1289" spans="1:5" x14ac:dyDescent="0.25">
      <c r="A1289" s="10">
        <v>44420</v>
      </c>
      <c r="B1289">
        <v>304914</v>
      </c>
      <c r="C1289">
        <v>425044</v>
      </c>
      <c r="D1289" t="s">
        <v>630</v>
      </c>
      <c r="E1289">
        <v>224</v>
      </c>
    </row>
    <row r="1290" spans="1:5" x14ac:dyDescent="0.25">
      <c r="A1290" s="10">
        <v>44420</v>
      </c>
      <c r="B1290">
        <v>304914</v>
      </c>
      <c r="C1290">
        <v>425045</v>
      </c>
      <c r="D1290" t="s">
        <v>631</v>
      </c>
      <c r="E1290">
        <v>228</v>
      </c>
    </row>
    <row r="1291" spans="1:5" x14ac:dyDescent="0.25">
      <c r="A1291" s="10">
        <v>44420</v>
      </c>
      <c r="B1291">
        <v>304914</v>
      </c>
      <c r="C1291" t="s">
        <v>92</v>
      </c>
      <c r="D1291" t="s">
        <v>632</v>
      </c>
      <c r="E1291">
        <v>232</v>
      </c>
    </row>
    <row r="1292" spans="1:5" x14ac:dyDescent="0.25">
      <c r="A1292" s="10">
        <v>44420</v>
      </c>
      <c r="B1292">
        <v>304914</v>
      </c>
      <c r="C1292">
        <v>421733</v>
      </c>
      <c r="D1292" t="s">
        <v>633</v>
      </c>
      <c r="E1292">
        <v>236</v>
      </c>
    </row>
    <row r="1293" spans="1:5" x14ac:dyDescent="0.25">
      <c r="A1293" s="10">
        <v>44420</v>
      </c>
      <c r="B1293">
        <v>304914</v>
      </c>
      <c r="C1293">
        <v>421730</v>
      </c>
      <c r="D1293" t="s">
        <v>634</v>
      </c>
      <c r="E1293">
        <v>240</v>
      </c>
    </row>
    <row r="1294" spans="1:5" x14ac:dyDescent="0.25">
      <c r="A1294" s="10">
        <v>44420</v>
      </c>
      <c r="B1294">
        <v>304914</v>
      </c>
      <c r="C1294">
        <v>425046</v>
      </c>
      <c r="D1294" t="s">
        <v>635</v>
      </c>
      <c r="E1294">
        <v>244</v>
      </c>
    </row>
    <row r="1295" spans="1:5" x14ac:dyDescent="0.25">
      <c r="A1295" s="10">
        <v>44420</v>
      </c>
      <c r="B1295">
        <v>304914</v>
      </c>
      <c r="C1295">
        <v>439935</v>
      </c>
      <c r="D1295" t="s">
        <v>636</v>
      </c>
      <c r="E1295">
        <v>248</v>
      </c>
    </row>
    <row r="1296" spans="1:5" x14ac:dyDescent="0.25">
      <c r="A1296" s="10">
        <v>44420</v>
      </c>
      <c r="B1296">
        <v>304914</v>
      </c>
      <c r="C1296" t="s">
        <v>93</v>
      </c>
      <c r="D1296" t="s">
        <v>637</v>
      </c>
      <c r="E1296">
        <v>252</v>
      </c>
    </row>
    <row r="1297" spans="1:5" x14ac:dyDescent="0.25">
      <c r="A1297" s="10">
        <v>44420</v>
      </c>
      <c r="B1297">
        <v>304885</v>
      </c>
      <c r="C1297" t="s">
        <v>306</v>
      </c>
      <c r="D1297" t="s">
        <v>638</v>
      </c>
      <c r="E1297">
        <v>256</v>
      </c>
    </row>
    <row r="1298" spans="1:5" x14ac:dyDescent="0.25">
      <c r="A1298" s="10">
        <v>44420</v>
      </c>
      <c r="B1298">
        <v>304914</v>
      </c>
      <c r="C1298" t="s">
        <v>94</v>
      </c>
      <c r="D1298" t="s">
        <v>639</v>
      </c>
      <c r="E1298">
        <v>260</v>
      </c>
    </row>
    <row r="1299" spans="1:5" x14ac:dyDescent="0.25">
      <c r="A1299" s="10">
        <v>44420</v>
      </c>
      <c r="B1299">
        <v>304914</v>
      </c>
      <c r="C1299">
        <v>262262</v>
      </c>
      <c r="D1299" t="s">
        <v>640</v>
      </c>
      <c r="E1299">
        <v>262</v>
      </c>
    </row>
    <row r="1300" spans="1:5" x14ac:dyDescent="0.25">
      <c r="A1300" s="10">
        <v>44420</v>
      </c>
      <c r="B1300">
        <v>304914</v>
      </c>
      <c r="C1300" t="s">
        <v>130</v>
      </c>
      <c r="D1300" t="s">
        <v>641</v>
      </c>
      <c r="E1300">
        <v>264</v>
      </c>
    </row>
    <row r="1301" spans="1:5" x14ac:dyDescent="0.25">
      <c r="A1301" s="10">
        <v>44420</v>
      </c>
      <c r="B1301">
        <v>304914</v>
      </c>
      <c r="C1301" t="s">
        <v>252</v>
      </c>
      <c r="D1301" t="s">
        <v>642</v>
      </c>
      <c r="E1301">
        <v>266</v>
      </c>
    </row>
    <row r="1302" spans="1:5" x14ac:dyDescent="0.25">
      <c r="A1302" s="10">
        <v>44420</v>
      </c>
      <c r="B1302">
        <v>304884</v>
      </c>
      <c r="C1302">
        <v>99450</v>
      </c>
      <c r="D1302" t="s">
        <v>643</v>
      </c>
      <c r="E1302">
        <v>221</v>
      </c>
    </row>
    <row r="1303" spans="1:5" x14ac:dyDescent="0.25">
      <c r="A1303" s="10">
        <v>44420</v>
      </c>
      <c r="B1303">
        <v>304884</v>
      </c>
      <c r="C1303">
        <v>403441</v>
      </c>
      <c r="D1303" t="s">
        <v>644</v>
      </c>
      <c r="E1303">
        <v>225</v>
      </c>
    </row>
    <row r="1304" spans="1:5" x14ac:dyDescent="0.25">
      <c r="A1304" s="10">
        <v>44420</v>
      </c>
      <c r="B1304">
        <v>304884</v>
      </c>
      <c r="C1304">
        <v>86159</v>
      </c>
      <c r="D1304" t="s">
        <v>645</v>
      </c>
      <c r="E1304">
        <v>229</v>
      </c>
    </row>
    <row r="1305" spans="1:5" x14ac:dyDescent="0.25">
      <c r="A1305" s="10">
        <v>44420</v>
      </c>
      <c r="B1305">
        <v>304988</v>
      </c>
      <c r="C1305">
        <v>303354</v>
      </c>
      <c r="D1305" t="s">
        <v>646</v>
      </c>
      <c r="E1305">
        <v>233</v>
      </c>
    </row>
    <row r="1306" spans="1:5" x14ac:dyDescent="0.25">
      <c r="A1306" s="10">
        <v>44420</v>
      </c>
      <c r="B1306">
        <v>304988</v>
      </c>
      <c r="C1306">
        <v>85227</v>
      </c>
      <c r="D1306" t="s">
        <v>647</v>
      </c>
      <c r="E1306">
        <v>237</v>
      </c>
    </row>
    <row r="1307" spans="1:5" x14ac:dyDescent="0.25">
      <c r="A1307" s="10">
        <v>44420</v>
      </c>
      <c r="B1307">
        <v>304884</v>
      </c>
      <c r="C1307">
        <v>423185</v>
      </c>
      <c r="D1307" t="s">
        <v>648</v>
      </c>
      <c r="E1307">
        <v>241</v>
      </c>
    </row>
    <row r="1308" spans="1:5" x14ac:dyDescent="0.25">
      <c r="A1308" s="10">
        <v>44420</v>
      </c>
      <c r="B1308">
        <v>304882</v>
      </c>
      <c r="C1308">
        <v>316420</v>
      </c>
      <c r="D1308" t="s">
        <v>649</v>
      </c>
      <c r="E1308">
        <v>245</v>
      </c>
    </row>
    <row r="1309" spans="1:5" x14ac:dyDescent="0.25">
      <c r="A1309" s="10">
        <v>44420</v>
      </c>
      <c r="B1309">
        <v>304884</v>
      </c>
      <c r="C1309">
        <v>314246</v>
      </c>
      <c r="D1309" t="s">
        <v>650</v>
      </c>
      <c r="E1309">
        <v>249</v>
      </c>
    </row>
    <row r="1310" spans="1:5" x14ac:dyDescent="0.25">
      <c r="A1310" s="10">
        <v>44420</v>
      </c>
      <c r="B1310">
        <v>304884</v>
      </c>
      <c r="C1310">
        <v>425293</v>
      </c>
      <c r="D1310" t="s">
        <v>651</v>
      </c>
      <c r="E1310">
        <v>253</v>
      </c>
    </row>
    <row r="1311" spans="1:5" x14ac:dyDescent="0.25">
      <c r="A1311" s="10">
        <v>44420</v>
      </c>
      <c r="B1311">
        <v>304884</v>
      </c>
      <c r="C1311">
        <v>412800</v>
      </c>
      <c r="D1311" t="s">
        <v>652</v>
      </c>
      <c r="E1311">
        <v>257</v>
      </c>
    </row>
    <row r="1312" spans="1:5" x14ac:dyDescent="0.25">
      <c r="A1312" s="10">
        <v>44420</v>
      </c>
      <c r="B1312">
        <v>304884</v>
      </c>
      <c r="C1312">
        <v>328267</v>
      </c>
      <c r="D1312" t="s">
        <v>653</v>
      </c>
      <c r="E1312">
        <v>261</v>
      </c>
    </row>
    <row r="1313" spans="1:5" x14ac:dyDescent="0.25">
      <c r="A1313" s="10">
        <v>44420</v>
      </c>
      <c r="B1313">
        <v>304882</v>
      </c>
      <c r="C1313">
        <v>317398</v>
      </c>
      <c r="D1313" t="s">
        <v>654</v>
      </c>
      <c r="E1313">
        <v>265</v>
      </c>
    </row>
    <row r="1314" spans="1:5" x14ac:dyDescent="0.25">
      <c r="A1314" s="10">
        <v>44420</v>
      </c>
      <c r="B1314">
        <v>304883</v>
      </c>
      <c r="C1314">
        <v>404328</v>
      </c>
      <c r="D1314" t="s">
        <v>655</v>
      </c>
      <c r="E1314">
        <v>324</v>
      </c>
    </row>
    <row r="1315" spans="1:5" x14ac:dyDescent="0.25">
      <c r="A1315" s="10">
        <v>44420</v>
      </c>
      <c r="B1315">
        <v>304885</v>
      </c>
      <c r="C1315">
        <v>412667</v>
      </c>
      <c r="D1315" t="s">
        <v>656</v>
      </c>
      <c r="E1315">
        <v>328</v>
      </c>
    </row>
    <row r="1316" spans="1:5" x14ac:dyDescent="0.25">
      <c r="A1316" s="10">
        <v>44420</v>
      </c>
      <c r="B1316">
        <v>304883</v>
      </c>
      <c r="C1316" t="s">
        <v>145</v>
      </c>
      <c r="D1316" t="s">
        <v>657</v>
      </c>
      <c r="E1316">
        <v>332</v>
      </c>
    </row>
    <row r="1317" spans="1:5" x14ac:dyDescent="0.25">
      <c r="A1317" s="10">
        <v>44420</v>
      </c>
      <c r="B1317">
        <v>304885</v>
      </c>
      <c r="C1317">
        <v>87750</v>
      </c>
      <c r="D1317" t="s">
        <v>658</v>
      </c>
      <c r="E1317">
        <v>336</v>
      </c>
    </row>
    <row r="1318" spans="1:5" x14ac:dyDescent="0.25">
      <c r="A1318" s="10">
        <v>44420</v>
      </c>
      <c r="B1318">
        <v>304886</v>
      </c>
      <c r="C1318">
        <v>405337</v>
      </c>
      <c r="D1318" t="s">
        <v>659</v>
      </c>
      <c r="E1318">
        <v>340</v>
      </c>
    </row>
    <row r="1319" spans="1:5" x14ac:dyDescent="0.25">
      <c r="A1319" s="10">
        <v>44420</v>
      </c>
      <c r="B1319">
        <v>304881</v>
      </c>
      <c r="C1319">
        <v>461887</v>
      </c>
      <c r="D1319" t="s">
        <v>660</v>
      </c>
      <c r="E1319">
        <v>344</v>
      </c>
    </row>
    <row r="1320" spans="1:5" x14ac:dyDescent="0.25">
      <c r="A1320" s="10">
        <v>44420</v>
      </c>
      <c r="B1320">
        <v>304881</v>
      </c>
      <c r="C1320">
        <v>415600</v>
      </c>
      <c r="D1320" t="s">
        <v>661</v>
      </c>
      <c r="E1320">
        <v>348</v>
      </c>
    </row>
    <row r="1321" spans="1:5" x14ac:dyDescent="0.25">
      <c r="A1321" s="10">
        <v>44420</v>
      </c>
      <c r="B1321">
        <v>304881</v>
      </c>
      <c r="C1321">
        <v>461885</v>
      </c>
      <c r="D1321" t="s">
        <v>662</v>
      </c>
      <c r="E1321">
        <v>352</v>
      </c>
    </row>
    <row r="1322" spans="1:5" x14ac:dyDescent="0.25">
      <c r="A1322" s="10">
        <v>44420</v>
      </c>
      <c r="B1322">
        <v>304881</v>
      </c>
      <c r="C1322">
        <v>434749</v>
      </c>
      <c r="D1322" t="s">
        <v>663</v>
      </c>
      <c r="E1322">
        <v>356</v>
      </c>
    </row>
    <row r="1323" spans="1:5" x14ac:dyDescent="0.25">
      <c r="A1323" s="10">
        <v>44420</v>
      </c>
      <c r="B1323">
        <v>304881</v>
      </c>
      <c r="C1323" t="s">
        <v>95</v>
      </c>
      <c r="D1323" t="s">
        <v>664</v>
      </c>
      <c r="E1323">
        <v>360</v>
      </c>
    </row>
    <row r="1324" spans="1:5" x14ac:dyDescent="0.25">
      <c r="A1324" s="10">
        <v>44420</v>
      </c>
      <c r="B1324">
        <v>304881</v>
      </c>
      <c r="C1324" t="s">
        <v>307</v>
      </c>
      <c r="D1324" t="s">
        <v>665</v>
      </c>
      <c r="E1324">
        <v>362</v>
      </c>
    </row>
    <row r="1325" spans="1:5" x14ac:dyDescent="0.25">
      <c r="A1325" s="10">
        <v>44420</v>
      </c>
      <c r="B1325">
        <v>304881</v>
      </c>
      <c r="C1325" t="s">
        <v>112</v>
      </c>
      <c r="D1325" t="s">
        <v>666</v>
      </c>
      <c r="E1325">
        <v>366</v>
      </c>
    </row>
    <row r="1326" spans="1:5" x14ac:dyDescent="0.25">
      <c r="A1326" s="10">
        <v>44420</v>
      </c>
      <c r="B1326">
        <v>304881</v>
      </c>
      <c r="C1326" t="s">
        <v>97</v>
      </c>
      <c r="D1326" t="s">
        <v>667</v>
      </c>
      <c r="E1326">
        <v>368</v>
      </c>
    </row>
    <row r="1327" spans="1:5" x14ac:dyDescent="0.25">
      <c r="A1327" s="10">
        <v>44420</v>
      </c>
      <c r="B1327">
        <v>304885</v>
      </c>
      <c r="C1327" t="s">
        <v>122</v>
      </c>
      <c r="D1327" t="s">
        <v>668</v>
      </c>
      <c r="E1327">
        <v>370</v>
      </c>
    </row>
    <row r="1328" spans="1:5" x14ac:dyDescent="0.25">
      <c r="A1328" s="10">
        <v>44420</v>
      </c>
      <c r="B1328">
        <v>304882</v>
      </c>
      <c r="C1328" t="s">
        <v>98</v>
      </c>
      <c r="D1328" t="s">
        <v>669</v>
      </c>
      <c r="E1328">
        <v>376</v>
      </c>
    </row>
    <row r="1329" spans="1:5" x14ac:dyDescent="0.25">
      <c r="A1329" s="10">
        <v>44420</v>
      </c>
      <c r="B1329">
        <v>304883</v>
      </c>
      <c r="C1329">
        <v>24423</v>
      </c>
      <c r="D1329" t="s">
        <v>670</v>
      </c>
      <c r="E1329">
        <v>319</v>
      </c>
    </row>
    <row r="1330" spans="1:5" x14ac:dyDescent="0.25">
      <c r="A1330" s="10">
        <v>44420</v>
      </c>
      <c r="B1330">
        <v>304883</v>
      </c>
      <c r="C1330">
        <v>432597</v>
      </c>
      <c r="D1330" t="s">
        <v>671</v>
      </c>
      <c r="E1330">
        <v>321</v>
      </c>
    </row>
    <row r="1331" spans="1:5" x14ac:dyDescent="0.25">
      <c r="A1331" s="10">
        <v>44420</v>
      </c>
      <c r="B1331">
        <v>304883</v>
      </c>
      <c r="C1331">
        <v>84334</v>
      </c>
      <c r="D1331" t="s">
        <v>672</v>
      </c>
      <c r="E1331">
        <v>325</v>
      </c>
    </row>
    <row r="1332" spans="1:5" x14ac:dyDescent="0.25">
      <c r="A1332" s="10">
        <v>44420</v>
      </c>
      <c r="B1332">
        <v>304883</v>
      </c>
      <c r="C1332">
        <v>84334</v>
      </c>
      <c r="D1332" t="s">
        <v>673</v>
      </c>
      <c r="E1332">
        <v>325</v>
      </c>
    </row>
    <row r="1333" spans="1:5" x14ac:dyDescent="0.25">
      <c r="A1333" s="10">
        <v>44420</v>
      </c>
      <c r="B1333">
        <v>304883</v>
      </c>
      <c r="C1333">
        <v>84334</v>
      </c>
      <c r="D1333" t="s">
        <v>674</v>
      </c>
      <c r="E1333">
        <v>325</v>
      </c>
    </row>
    <row r="1334" spans="1:5" x14ac:dyDescent="0.25">
      <c r="A1334" s="10">
        <v>44420</v>
      </c>
      <c r="B1334">
        <v>304883</v>
      </c>
      <c r="C1334">
        <v>84334</v>
      </c>
      <c r="D1334" t="s">
        <v>675</v>
      </c>
      <c r="E1334">
        <v>325</v>
      </c>
    </row>
    <row r="1335" spans="1:5" x14ac:dyDescent="0.25">
      <c r="A1335" s="10">
        <v>44420</v>
      </c>
      <c r="B1335">
        <v>304883</v>
      </c>
      <c r="C1335" t="s">
        <v>150</v>
      </c>
      <c r="D1335" t="s">
        <v>676</v>
      </c>
      <c r="E1335">
        <v>329</v>
      </c>
    </row>
    <row r="1336" spans="1:5" x14ac:dyDescent="0.25">
      <c r="A1336" s="10">
        <v>44420</v>
      </c>
      <c r="B1336">
        <v>304883</v>
      </c>
      <c r="C1336" t="s">
        <v>308</v>
      </c>
      <c r="D1336" t="s">
        <v>677</v>
      </c>
      <c r="E1336">
        <v>333</v>
      </c>
    </row>
    <row r="1337" spans="1:5" x14ac:dyDescent="0.25">
      <c r="A1337" s="10">
        <v>44420</v>
      </c>
      <c r="B1337">
        <v>304883</v>
      </c>
      <c r="C1337" t="s">
        <v>309</v>
      </c>
      <c r="D1337" t="s">
        <v>678</v>
      </c>
      <c r="E1337">
        <v>337</v>
      </c>
    </row>
    <row r="1338" spans="1:5" x14ac:dyDescent="0.25">
      <c r="A1338" s="10">
        <v>44420</v>
      </c>
      <c r="B1338">
        <v>304883</v>
      </c>
      <c r="C1338">
        <v>432598</v>
      </c>
      <c r="D1338" t="s">
        <v>679</v>
      </c>
      <c r="E1338">
        <v>341</v>
      </c>
    </row>
    <row r="1339" spans="1:5" x14ac:dyDescent="0.25">
      <c r="A1339" s="10">
        <v>44420</v>
      </c>
      <c r="B1339">
        <v>304885</v>
      </c>
      <c r="C1339">
        <v>402666</v>
      </c>
      <c r="D1339" t="s">
        <v>680</v>
      </c>
      <c r="E1339">
        <v>345</v>
      </c>
    </row>
    <row r="1340" spans="1:5" x14ac:dyDescent="0.25">
      <c r="A1340" s="10">
        <v>44420</v>
      </c>
      <c r="B1340">
        <v>304885</v>
      </c>
      <c r="C1340">
        <v>414479</v>
      </c>
      <c r="D1340" t="s">
        <v>681</v>
      </c>
      <c r="E1340">
        <v>349</v>
      </c>
    </row>
    <row r="1341" spans="1:5" x14ac:dyDescent="0.25">
      <c r="A1341" s="10">
        <v>44420</v>
      </c>
      <c r="B1341">
        <v>304885</v>
      </c>
      <c r="C1341">
        <v>87376</v>
      </c>
      <c r="D1341" t="s">
        <v>682</v>
      </c>
      <c r="E1341">
        <v>353</v>
      </c>
    </row>
    <row r="1342" spans="1:5" x14ac:dyDescent="0.25">
      <c r="A1342" s="10">
        <v>44420</v>
      </c>
      <c r="B1342">
        <v>304885</v>
      </c>
      <c r="C1342">
        <v>320665</v>
      </c>
      <c r="D1342" t="s">
        <v>683</v>
      </c>
      <c r="E1342">
        <v>357</v>
      </c>
    </row>
    <row r="1343" spans="1:5" x14ac:dyDescent="0.25">
      <c r="A1343" s="10">
        <v>44420</v>
      </c>
      <c r="B1343">
        <v>304881</v>
      </c>
      <c r="C1343">
        <v>461886</v>
      </c>
      <c r="D1343" t="s">
        <v>684</v>
      </c>
      <c r="E1343">
        <v>361</v>
      </c>
    </row>
    <row r="1344" spans="1:5" x14ac:dyDescent="0.25">
      <c r="A1344" s="10">
        <v>44420</v>
      </c>
      <c r="B1344">
        <v>304881</v>
      </c>
      <c r="C1344">
        <v>320763</v>
      </c>
      <c r="D1344" t="s">
        <v>685</v>
      </c>
      <c r="E1344">
        <v>365</v>
      </c>
    </row>
    <row r="1345" spans="1:5" x14ac:dyDescent="0.25">
      <c r="A1345" s="10">
        <v>44420</v>
      </c>
      <c r="B1345">
        <v>304881</v>
      </c>
      <c r="C1345" t="s">
        <v>113</v>
      </c>
      <c r="D1345" t="s">
        <v>686</v>
      </c>
      <c r="E1345">
        <v>369</v>
      </c>
    </row>
    <row r="1346" spans="1:5" x14ac:dyDescent="0.25">
      <c r="A1346" s="10">
        <v>44420</v>
      </c>
      <c r="B1346">
        <v>304887</v>
      </c>
      <c r="C1346" t="s">
        <v>214</v>
      </c>
      <c r="D1346" t="s">
        <v>687</v>
      </c>
      <c r="E1346">
        <v>420</v>
      </c>
    </row>
    <row r="1347" spans="1:5" x14ac:dyDescent="0.25">
      <c r="A1347" s="10">
        <v>44420</v>
      </c>
      <c r="B1347">
        <v>304883</v>
      </c>
      <c r="C1347" t="s">
        <v>310</v>
      </c>
      <c r="D1347" t="s">
        <v>688</v>
      </c>
      <c r="E1347">
        <v>436</v>
      </c>
    </row>
    <row r="1348" spans="1:5" x14ac:dyDescent="0.25">
      <c r="A1348" s="10">
        <v>44420</v>
      </c>
      <c r="B1348">
        <v>304883</v>
      </c>
      <c r="C1348" t="s">
        <v>311</v>
      </c>
      <c r="D1348" t="s">
        <v>689</v>
      </c>
      <c r="E1348">
        <v>438</v>
      </c>
    </row>
    <row r="1349" spans="1:5" x14ac:dyDescent="0.25">
      <c r="A1349" s="10">
        <v>44420</v>
      </c>
      <c r="B1349">
        <v>304988</v>
      </c>
      <c r="C1349" t="s">
        <v>248</v>
      </c>
      <c r="D1349" t="s">
        <v>690</v>
      </c>
      <c r="E1349">
        <v>440</v>
      </c>
    </row>
    <row r="1350" spans="1:5" x14ac:dyDescent="0.25">
      <c r="A1350" s="10">
        <v>44420</v>
      </c>
      <c r="B1350">
        <v>304887</v>
      </c>
      <c r="C1350" t="s">
        <v>114</v>
      </c>
      <c r="D1350" t="s">
        <v>691</v>
      </c>
      <c r="E1350">
        <v>468</v>
      </c>
    </row>
    <row r="1351" spans="1:5" x14ac:dyDescent="0.25">
      <c r="A1351" s="10">
        <v>44420</v>
      </c>
      <c r="B1351">
        <v>304887</v>
      </c>
      <c r="C1351" t="s">
        <v>297</v>
      </c>
      <c r="D1351" t="s">
        <v>692</v>
      </c>
      <c r="E1351">
        <v>470</v>
      </c>
    </row>
    <row r="1352" spans="1:5" x14ac:dyDescent="0.25">
      <c r="A1352" s="10">
        <v>44420</v>
      </c>
      <c r="B1352">
        <v>304884</v>
      </c>
      <c r="C1352" t="s">
        <v>312</v>
      </c>
      <c r="D1352" t="s">
        <v>693</v>
      </c>
      <c r="E1352">
        <v>419</v>
      </c>
    </row>
    <row r="1353" spans="1:5" x14ac:dyDescent="0.25">
      <c r="A1353" s="10">
        <v>44420</v>
      </c>
      <c r="B1353">
        <v>304886</v>
      </c>
      <c r="C1353" t="s">
        <v>299</v>
      </c>
      <c r="D1353" t="s">
        <v>694</v>
      </c>
      <c r="E1353">
        <v>421</v>
      </c>
    </row>
    <row r="1354" spans="1:5" x14ac:dyDescent="0.25">
      <c r="A1354" s="10">
        <v>44420</v>
      </c>
      <c r="B1354">
        <v>304881</v>
      </c>
      <c r="C1354" t="s">
        <v>115</v>
      </c>
      <c r="D1354" t="s">
        <v>695</v>
      </c>
      <c r="E1354">
        <v>423</v>
      </c>
    </row>
    <row r="1355" spans="1:5" x14ac:dyDescent="0.25">
      <c r="A1355" s="10">
        <v>44420</v>
      </c>
      <c r="B1355">
        <v>304883</v>
      </c>
      <c r="C1355" t="s">
        <v>100</v>
      </c>
      <c r="D1355" t="s">
        <v>696</v>
      </c>
      <c r="E1355">
        <v>425</v>
      </c>
    </row>
    <row r="1356" spans="1:5" x14ac:dyDescent="0.25">
      <c r="A1356" s="10">
        <v>44420</v>
      </c>
      <c r="B1356">
        <v>304884</v>
      </c>
      <c r="C1356" t="s">
        <v>101</v>
      </c>
      <c r="D1356" t="s">
        <v>697</v>
      </c>
      <c r="E1356">
        <v>520</v>
      </c>
    </row>
    <row r="1357" spans="1:5" x14ac:dyDescent="0.25">
      <c r="A1357" s="10">
        <v>44420</v>
      </c>
      <c r="B1357">
        <v>304884</v>
      </c>
      <c r="C1357" t="s">
        <v>250</v>
      </c>
      <c r="D1357" t="s">
        <v>698</v>
      </c>
      <c r="E1357">
        <v>522</v>
      </c>
    </row>
    <row r="1358" spans="1:5" x14ac:dyDescent="0.25">
      <c r="A1358" s="10">
        <v>44420</v>
      </c>
      <c r="B1358">
        <v>304884</v>
      </c>
      <c r="C1358">
        <v>524524</v>
      </c>
      <c r="D1358" t="s">
        <v>699</v>
      </c>
      <c r="E1358">
        <v>524</v>
      </c>
    </row>
    <row r="1359" spans="1:5" x14ac:dyDescent="0.25">
      <c r="A1359" s="10">
        <v>44420</v>
      </c>
      <c r="B1359">
        <v>304884</v>
      </c>
      <c r="C1359" t="s">
        <v>136</v>
      </c>
      <c r="D1359" t="s">
        <v>700</v>
      </c>
      <c r="E1359">
        <v>526</v>
      </c>
    </row>
    <row r="1360" spans="1:5" x14ac:dyDescent="0.25">
      <c r="A1360" s="10">
        <v>44420</v>
      </c>
      <c r="B1360">
        <v>304887</v>
      </c>
      <c r="C1360" t="s">
        <v>103</v>
      </c>
      <c r="D1360" t="s">
        <v>701</v>
      </c>
      <c r="E1360">
        <v>530</v>
      </c>
    </row>
    <row r="1361" spans="1:5" x14ac:dyDescent="0.25">
      <c r="A1361" s="10">
        <v>44420</v>
      </c>
      <c r="B1361">
        <v>304881</v>
      </c>
      <c r="C1361" t="s">
        <v>104</v>
      </c>
      <c r="D1361" t="s">
        <v>702</v>
      </c>
      <c r="E1361">
        <v>532</v>
      </c>
    </row>
    <row r="1362" spans="1:5" x14ac:dyDescent="0.25">
      <c r="A1362" s="10">
        <v>44420</v>
      </c>
      <c r="B1362">
        <v>304881</v>
      </c>
      <c r="C1362" t="s">
        <v>135</v>
      </c>
      <c r="D1362" t="s">
        <v>703</v>
      </c>
      <c r="E1362">
        <v>538</v>
      </c>
    </row>
    <row r="1363" spans="1:5" x14ac:dyDescent="0.25">
      <c r="A1363" s="10">
        <v>44420</v>
      </c>
      <c r="B1363">
        <v>304887</v>
      </c>
      <c r="C1363">
        <v>542542</v>
      </c>
      <c r="D1363" t="s">
        <v>704</v>
      </c>
      <c r="E1363">
        <v>542</v>
      </c>
    </row>
    <row r="1364" spans="1:5" x14ac:dyDescent="0.25">
      <c r="A1364" s="10">
        <v>44420</v>
      </c>
      <c r="B1364">
        <v>304886</v>
      </c>
      <c r="C1364" t="s">
        <v>106</v>
      </c>
      <c r="D1364" t="s">
        <v>705</v>
      </c>
      <c r="E1364">
        <v>616</v>
      </c>
    </row>
    <row r="1365" spans="1:5" x14ac:dyDescent="0.25">
      <c r="A1365" s="10">
        <v>44420</v>
      </c>
      <c r="B1365">
        <v>304914</v>
      </c>
      <c r="C1365" t="s">
        <v>116</v>
      </c>
      <c r="D1365" t="s">
        <v>706</v>
      </c>
      <c r="E1365">
        <v>638</v>
      </c>
    </row>
    <row r="1366" spans="1:5" x14ac:dyDescent="0.25">
      <c r="A1366" s="10">
        <v>44420</v>
      </c>
      <c r="B1366">
        <v>304914</v>
      </c>
      <c r="C1366" t="s">
        <v>107</v>
      </c>
      <c r="D1366" t="s">
        <v>707</v>
      </c>
      <c r="E1366">
        <v>640</v>
      </c>
    </row>
    <row r="1367" spans="1:5" x14ac:dyDescent="0.25">
      <c r="A1367" s="10">
        <v>44420</v>
      </c>
      <c r="B1367">
        <v>304885</v>
      </c>
      <c r="C1367" t="s">
        <v>313</v>
      </c>
      <c r="D1367" t="s">
        <v>708</v>
      </c>
      <c r="E1367">
        <v>642</v>
      </c>
    </row>
    <row r="1368" spans="1:5" x14ac:dyDescent="0.25">
      <c r="A1368" s="10">
        <v>44420</v>
      </c>
      <c r="B1368">
        <v>304886</v>
      </c>
      <c r="C1368" t="s">
        <v>109</v>
      </c>
      <c r="D1368" t="s">
        <v>709</v>
      </c>
      <c r="E1368">
        <v>654</v>
      </c>
    </row>
    <row r="1369" spans="1:5" x14ac:dyDescent="0.25">
      <c r="A1369" s="10">
        <v>44420</v>
      </c>
      <c r="B1369">
        <v>304886</v>
      </c>
      <c r="C1369" t="s">
        <v>121</v>
      </c>
      <c r="D1369" t="s">
        <v>710</v>
      </c>
      <c r="E1369">
        <v>656</v>
      </c>
    </row>
    <row r="1370" spans="1:5" x14ac:dyDescent="0.25">
      <c r="A1370" s="10">
        <v>44420</v>
      </c>
      <c r="B1370">
        <v>304886</v>
      </c>
      <c r="C1370" t="s">
        <v>117</v>
      </c>
      <c r="D1370" t="s">
        <v>711</v>
      </c>
      <c r="E1370">
        <v>660</v>
      </c>
    </row>
    <row r="1371" spans="1:5" x14ac:dyDescent="0.25">
      <c r="A1371" s="10">
        <v>44420</v>
      </c>
      <c r="B1371">
        <v>304886</v>
      </c>
      <c r="C1371" t="s">
        <v>314</v>
      </c>
      <c r="D1371" t="s">
        <v>712</v>
      </c>
      <c r="E1371">
        <v>668</v>
      </c>
    </row>
    <row r="1372" spans="1:5" x14ac:dyDescent="0.25">
      <c r="A1372" s="10">
        <v>44420</v>
      </c>
      <c r="B1372">
        <v>304886</v>
      </c>
      <c r="C1372">
        <v>87511</v>
      </c>
      <c r="D1372" t="s">
        <v>713</v>
      </c>
      <c r="E1372">
        <v>615</v>
      </c>
    </row>
    <row r="1373" spans="1:5" x14ac:dyDescent="0.25">
      <c r="A1373" s="10">
        <v>44420</v>
      </c>
      <c r="B1373">
        <v>304914</v>
      </c>
      <c r="C1373">
        <v>421736</v>
      </c>
      <c r="D1373" t="s">
        <v>714</v>
      </c>
      <c r="E1373">
        <v>617</v>
      </c>
    </row>
    <row r="1374" spans="1:5" x14ac:dyDescent="0.25">
      <c r="A1374" s="10">
        <v>44420</v>
      </c>
      <c r="B1374">
        <v>304881</v>
      </c>
      <c r="C1374">
        <v>94450</v>
      </c>
      <c r="D1374" t="s">
        <v>715</v>
      </c>
      <c r="E1374">
        <v>655</v>
      </c>
    </row>
    <row r="1375" spans="1:5" x14ac:dyDescent="0.25">
      <c r="A1375" s="10">
        <v>44421</v>
      </c>
      <c r="B1375">
        <v>304988</v>
      </c>
      <c r="C1375">
        <v>432600</v>
      </c>
      <c r="D1375" t="s">
        <v>716</v>
      </c>
      <c r="E1375">
        <v>124</v>
      </c>
    </row>
    <row r="1376" spans="1:5" x14ac:dyDescent="0.25">
      <c r="A1376" s="10">
        <v>44421</v>
      </c>
      <c r="B1376">
        <v>304988</v>
      </c>
      <c r="C1376">
        <v>432595</v>
      </c>
      <c r="D1376" t="s">
        <v>717</v>
      </c>
      <c r="E1376">
        <v>128</v>
      </c>
    </row>
    <row r="1377" spans="1:5" x14ac:dyDescent="0.25">
      <c r="A1377" s="10">
        <v>44421</v>
      </c>
      <c r="B1377">
        <v>304886</v>
      </c>
      <c r="C1377" t="s">
        <v>141</v>
      </c>
      <c r="D1377" t="s">
        <v>718</v>
      </c>
      <c r="E1377">
        <v>132</v>
      </c>
    </row>
    <row r="1378" spans="1:5" x14ac:dyDescent="0.25">
      <c r="A1378" s="10">
        <v>44421</v>
      </c>
      <c r="B1378">
        <v>304988</v>
      </c>
      <c r="C1378">
        <v>84334</v>
      </c>
      <c r="D1378" t="s">
        <v>719</v>
      </c>
      <c r="E1378">
        <v>136</v>
      </c>
    </row>
    <row r="1379" spans="1:5" x14ac:dyDescent="0.25">
      <c r="A1379" s="10">
        <v>44421</v>
      </c>
      <c r="B1379">
        <v>304988</v>
      </c>
      <c r="C1379" t="s">
        <v>197</v>
      </c>
      <c r="D1379" t="s">
        <v>720</v>
      </c>
      <c r="E1379">
        <v>140</v>
      </c>
    </row>
    <row r="1380" spans="1:5" x14ac:dyDescent="0.25">
      <c r="A1380" s="10">
        <v>44421</v>
      </c>
      <c r="B1380">
        <v>304887</v>
      </c>
      <c r="C1380">
        <v>326234</v>
      </c>
      <c r="D1380" t="s">
        <v>721</v>
      </c>
      <c r="E1380">
        <v>144</v>
      </c>
    </row>
    <row r="1381" spans="1:5" x14ac:dyDescent="0.25">
      <c r="A1381" s="10">
        <v>44421</v>
      </c>
      <c r="B1381">
        <v>304882</v>
      </c>
      <c r="C1381">
        <v>317397</v>
      </c>
      <c r="D1381" t="s">
        <v>722</v>
      </c>
      <c r="E1381">
        <v>148</v>
      </c>
    </row>
    <row r="1382" spans="1:5" x14ac:dyDescent="0.25">
      <c r="A1382" s="10">
        <v>44421</v>
      </c>
      <c r="B1382">
        <v>304887</v>
      </c>
      <c r="C1382">
        <v>411264</v>
      </c>
      <c r="D1382" t="s">
        <v>723</v>
      </c>
      <c r="E1382">
        <v>152</v>
      </c>
    </row>
    <row r="1383" spans="1:5" x14ac:dyDescent="0.25">
      <c r="A1383" s="10">
        <v>44421</v>
      </c>
      <c r="B1383">
        <v>304887</v>
      </c>
      <c r="C1383">
        <v>420522</v>
      </c>
      <c r="D1383" t="s">
        <v>724</v>
      </c>
      <c r="E1383">
        <v>156</v>
      </c>
    </row>
    <row r="1384" spans="1:5" x14ac:dyDescent="0.25">
      <c r="A1384" s="10">
        <v>44421</v>
      </c>
      <c r="B1384">
        <v>304887</v>
      </c>
      <c r="C1384">
        <v>431154</v>
      </c>
      <c r="D1384" t="s">
        <v>725</v>
      </c>
      <c r="E1384">
        <v>160</v>
      </c>
    </row>
    <row r="1385" spans="1:5" x14ac:dyDescent="0.25">
      <c r="A1385" s="10">
        <v>44421</v>
      </c>
      <c r="B1385">
        <v>304887</v>
      </c>
      <c r="C1385" t="s">
        <v>128</v>
      </c>
      <c r="D1385" t="s">
        <v>726</v>
      </c>
      <c r="E1385">
        <v>162</v>
      </c>
    </row>
    <row r="1386" spans="1:5" x14ac:dyDescent="0.25">
      <c r="A1386" s="10">
        <v>44421</v>
      </c>
      <c r="B1386">
        <v>304887</v>
      </c>
      <c r="C1386" t="s">
        <v>90</v>
      </c>
      <c r="D1386" t="s">
        <v>727</v>
      </c>
      <c r="E1386">
        <v>164</v>
      </c>
    </row>
    <row r="1387" spans="1:5" x14ac:dyDescent="0.25">
      <c r="A1387" s="10">
        <v>44421</v>
      </c>
      <c r="B1387">
        <v>304881</v>
      </c>
      <c r="C1387">
        <v>434748</v>
      </c>
      <c r="D1387" t="s">
        <v>728</v>
      </c>
      <c r="E1387">
        <v>121</v>
      </c>
    </row>
    <row r="1388" spans="1:5" x14ac:dyDescent="0.25">
      <c r="A1388" s="10">
        <v>44421</v>
      </c>
      <c r="B1388">
        <v>304881</v>
      </c>
      <c r="C1388">
        <v>424959</v>
      </c>
      <c r="D1388" t="s">
        <v>729</v>
      </c>
      <c r="E1388">
        <v>125</v>
      </c>
    </row>
    <row r="1389" spans="1:5" x14ac:dyDescent="0.25">
      <c r="A1389" s="10">
        <v>44421</v>
      </c>
      <c r="B1389">
        <v>304887</v>
      </c>
      <c r="C1389">
        <v>417342</v>
      </c>
      <c r="D1389" t="s">
        <v>730</v>
      </c>
      <c r="E1389">
        <v>129</v>
      </c>
    </row>
    <row r="1390" spans="1:5" x14ac:dyDescent="0.25">
      <c r="A1390" s="10">
        <v>44421</v>
      </c>
      <c r="B1390">
        <v>304882</v>
      </c>
      <c r="C1390">
        <v>316421</v>
      </c>
      <c r="D1390" t="s">
        <v>731</v>
      </c>
      <c r="E1390">
        <v>133</v>
      </c>
    </row>
    <row r="1391" spans="1:5" x14ac:dyDescent="0.25">
      <c r="A1391" s="10">
        <v>44421</v>
      </c>
      <c r="B1391">
        <v>304881</v>
      </c>
      <c r="C1391">
        <v>404394</v>
      </c>
      <c r="D1391" t="s">
        <v>732</v>
      </c>
      <c r="E1391">
        <v>137</v>
      </c>
    </row>
    <row r="1392" spans="1:5" x14ac:dyDescent="0.25">
      <c r="A1392" s="10">
        <v>44421</v>
      </c>
      <c r="B1392">
        <v>304887</v>
      </c>
      <c r="C1392">
        <v>409256</v>
      </c>
      <c r="D1392" t="s">
        <v>733</v>
      </c>
      <c r="E1392">
        <v>141</v>
      </c>
    </row>
    <row r="1393" spans="1:5" x14ac:dyDescent="0.25">
      <c r="A1393" s="10">
        <v>44421</v>
      </c>
      <c r="B1393">
        <v>304882</v>
      </c>
      <c r="C1393">
        <v>400398</v>
      </c>
      <c r="D1393" t="s">
        <v>734</v>
      </c>
      <c r="E1393">
        <v>145</v>
      </c>
    </row>
    <row r="1394" spans="1:5" x14ac:dyDescent="0.25">
      <c r="A1394" s="10">
        <v>44421</v>
      </c>
      <c r="B1394">
        <v>304887</v>
      </c>
      <c r="C1394">
        <v>404439</v>
      </c>
      <c r="D1394" t="s">
        <v>735</v>
      </c>
      <c r="E1394">
        <v>149</v>
      </c>
    </row>
    <row r="1395" spans="1:5" x14ac:dyDescent="0.25">
      <c r="A1395" s="10">
        <v>44421</v>
      </c>
      <c r="B1395">
        <v>304887</v>
      </c>
      <c r="C1395">
        <v>417490</v>
      </c>
      <c r="D1395" t="s">
        <v>736</v>
      </c>
      <c r="E1395">
        <v>153</v>
      </c>
    </row>
    <row r="1396" spans="1:5" x14ac:dyDescent="0.25">
      <c r="A1396" s="10">
        <v>44421</v>
      </c>
      <c r="B1396">
        <v>304887</v>
      </c>
      <c r="C1396">
        <v>87502</v>
      </c>
      <c r="D1396" t="s">
        <v>737</v>
      </c>
      <c r="E1396">
        <v>157</v>
      </c>
    </row>
    <row r="1397" spans="1:5" x14ac:dyDescent="0.25">
      <c r="A1397" s="10">
        <v>44421</v>
      </c>
      <c r="B1397">
        <v>304885</v>
      </c>
      <c r="C1397">
        <v>461696</v>
      </c>
      <c r="D1397" t="s">
        <v>738</v>
      </c>
      <c r="E1397">
        <v>161</v>
      </c>
    </row>
    <row r="1398" spans="1:5" x14ac:dyDescent="0.25">
      <c r="A1398" s="10">
        <v>44421</v>
      </c>
      <c r="B1398">
        <v>304882</v>
      </c>
      <c r="C1398">
        <v>320300</v>
      </c>
      <c r="D1398" t="s">
        <v>739</v>
      </c>
      <c r="E1398">
        <v>165</v>
      </c>
    </row>
    <row r="1399" spans="1:5" x14ac:dyDescent="0.25">
      <c r="A1399" s="10">
        <v>44421</v>
      </c>
      <c r="B1399">
        <v>304882</v>
      </c>
      <c r="C1399" t="s">
        <v>111</v>
      </c>
      <c r="D1399" t="s">
        <v>740</v>
      </c>
      <c r="E1399">
        <v>169</v>
      </c>
    </row>
    <row r="1400" spans="1:5" x14ac:dyDescent="0.25">
      <c r="A1400" s="10">
        <v>44421</v>
      </c>
      <c r="B1400">
        <v>304914</v>
      </c>
      <c r="C1400">
        <v>425044</v>
      </c>
      <c r="D1400" t="s">
        <v>741</v>
      </c>
      <c r="E1400">
        <v>224</v>
      </c>
    </row>
    <row r="1401" spans="1:5" x14ac:dyDescent="0.25">
      <c r="A1401" s="10">
        <v>44421</v>
      </c>
      <c r="B1401">
        <v>304914</v>
      </c>
      <c r="C1401">
        <v>425045</v>
      </c>
      <c r="D1401" t="s">
        <v>742</v>
      </c>
      <c r="E1401">
        <v>228</v>
      </c>
    </row>
    <row r="1402" spans="1:5" x14ac:dyDescent="0.25">
      <c r="A1402" s="10">
        <v>44421</v>
      </c>
      <c r="B1402">
        <v>304914</v>
      </c>
      <c r="C1402" t="s">
        <v>92</v>
      </c>
      <c r="D1402" t="s">
        <v>743</v>
      </c>
      <c r="E1402">
        <v>232</v>
      </c>
    </row>
    <row r="1403" spans="1:5" x14ac:dyDescent="0.25">
      <c r="A1403" s="10">
        <v>44421</v>
      </c>
      <c r="B1403">
        <v>304914</v>
      </c>
      <c r="C1403">
        <v>421733</v>
      </c>
      <c r="D1403" t="s">
        <v>744</v>
      </c>
      <c r="E1403">
        <v>236</v>
      </c>
    </row>
    <row r="1404" spans="1:5" x14ac:dyDescent="0.25">
      <c r="A1404" s="10">
        <v>44421</v>
      </c>
      <c r="B1404">
        <v>304914</v>
      </c>
      <c r="C1404">
        <v>421730</v>
      </c>
      <c r="D1404" t="s">
        <v>745</v>
      </c>
      <c r="E1404">
        <v>240</v>
      </c>
    </row>
    <row r="1405" spans="1:5" x14ac:dyDescent="0.25">
      <c r="A1405" s="10">
        <v>44421</v>
      </c>
      <c r="B1405">
        <v>304914</v>
      </c>
      <c r="C1405">
        <v>425046</v>
      </c>
      <c r="D1405" t="s">
        <v>746</v>
      </c>
      <c r="E1405">
        <v>244</v>
      </c>
    </row>
    <row r="1406" spans="1:5" x14ac:dyDescent="0.25">
      <c r="A1406" s="10">
        <v>44421</v>
      </c>
      <c r="B1406">
        <v>304914</v>
      </c>
      <c r="C1406">
        <v>439935</v>
      </c>
      <c r="D1406" t="s">
        <v>747</v>
      </c>
      <c r="E1406">
        <v>248</v>
      </c>
    </row>
    <row r="1407" spans="1:5" x14ac:dyDescent="0.25">
      <c r="A1407" s="10">
        <v>44421</v>
      </c>
      <c r="B1407">
        <v>304914</v>
      </c>
      <c r="C1407" t="s">
        <v>93</v>
      </c>
      <c r="D1407" t="s">
        <v>748</v>
      </c>
      <c r="E1407">
        <v>252</v>
      </c>
    </row>
    <row r="1408" spans="1:5" x14ac:dyDescent="0.25">
      <c r="A1408" s="10">
        <v>44421</v>
      </c>
      <c r="B1408">
        <v>304885</v>
      </c>
      <c r="C1408" t="s">
        <v>322</v>
      </c>
      <c r="D1408" t="s">
        <v>749</v>
      </c>
      <c r="E1408">
        <v>256</v>
      </c>
    </row>
    <row r="1409" spans="1:5" x14ac:dyDescent="0.25">
      <c r="A1409" s="10">
        <v>44421</v>
      </c>
      <c r="B1409">
        <v>304914</v>
      </c>
      <c r="C1409" t="s">
        <v>94</v>
      </c>
      <c r="D1409" t="s">
        <v>750</v>
      </c>
      <c r="E1409">
        <v>260</v>
      </c>
    </row>
    <row r="1410" spans="1:5" x14ac:dyDescent="0.25">
      <c r="A1410" s="10">
        <v>44421</v>
      </c>
      <c r="B1410">
        <v>304914</v>
      </c>
      <c r="C1410">
        <v>262262</v>
      </c>
      <c r="D1410" t="s">
        <v>751</v>
      </c>
      <c r="E1410">
        <v>262</v>
      </c>
    </row>
    <row r="1411" spans="1:5" x14ac:dyDescent="0.25">
      <c r="A1411" s="10">
        <v>44421</v>
      </c>
      <c r="B1411">
        <v>304914</v>
      </c>
      <c r="C1411" t="s">
        <v>130</v>
      </c>
      <c r="D1411" t="s">
        <v>752</v>
      </c>
      <c r="E1411">
        <v>264</v>
      </c>
    </row>
    <row r="1412" spans="1:5" x14ac:dyDescent="0.25">
      <c r="A1412" s="10">
        <v>44421</v>
      </c>
      <c r="B1412">
        <v>304914</v>
      </c>
      <c r="C1412" t="s">
        <v>144</v>
      </c>
      <c r="D1412" t="s">
        <v>753</v>
      </c>
      <c r="E1412">
        <v>266</v>
      </c>
    </row>
    <row r="1413" spans="1:5" x14ac:dyDescent="0.25">
      <c r="A1413" s="10">
        <v>44421</v>
      </c>
      <c r="B1413">
        <v>304884</v>
      </c>
      <c r="C1413">
        <v>99450</v>
      </c>
      <c r="D1413" t="s">
        <v>754</v>
      </c>
      <c r="E1413">
        <v>221</v>
      </c>
    </row>
    <row r="1414" spans="1:5" x14ac:dyDescent="0.25">
      <c r="A1414" s="10">
        <v>44421</v>
      </c>
      <c r="B1414">
        <v>304884</v>
      </c>
      <c r="C1414">
        <v>403441</v>
      </c>
      <c r="D1414" t="s">
        <v>755</v>
      </c>
      <c r="E1414">
        <v>225</v>
      </c>
    </row>
    <row r="1415" spans="1:5" x14ac:dyDescent="0.25">
      <c r="A1415" s="10">
        <v>44421</v>
      </c>
      <c r="B1415">
        <v>304884</v>
      </c>
      <c r="C1415">
        <v>86159</v>
      </c>
      <c r="D1415" t="s">
        <v>756</v>
      </c>
      <c r="E1415">
        <v>229</v>
      </c>
    </row>
    <row r="1416" spans="1:5" x14ac:dyDescent="0.25">
      <c r="A1416" s="10">
        <v>44421</v>
      </c>
      <c r="B1416">
        <v>304988</v>
      </c>
      <c r="C1416">
        <v>303354</v>
      </c>
      <c r="D1416" t="s">
        <v>757</v>
      </c>
      <c r="E1416">
        <v>233</v>
      </c>
    </row>
    <row r="1417" spans="1:5" x14ac:dyDescent="0.25">
      <c r="A1417" s="10">
        <v>44421</v>
      </c>
      <c r="B1417">
        <v>304988</v>
      </c>
      <c r="C1417">
        <v>85227</v>
      </c>
      <c r="D1417" t="s">
        <v>758</v>
      </c>
      <c r="E1417">
        <v>237</v>
      </c>
    </row>
    <row r="1418" spans="1:5" x14ac:dyDescent="0.25">
      <c r="A1418" s="10">
        <v>44421</v>
      </c>
      <c r="B1418">
        <v>304884</v>
      </c>
      <c r="C1418">
        <v>423185</v>
      </c>
      <c r="D1418" t="s">
        <v>759</v>
      </c>
      <c r="E1418">
        <v>241</v>
      </c>
    </row>
    <row r="1419" spans="1:5" x14ac:dyDescent="0.25">
      <c r="A1419" s="10">
        <v>44421</v>
      </c>
      <c r="B1419">
        <v>304882</v>
      </c>
      <c r="C1419">
        <v>316420</v>
      </c>
      <c r="D1419" t="s">
        <v>760</v>
      </c>
      <c r="E1419">
        <v>245</v>
      </c>
    </row>
    <row r="1420" spans="1:5" x14ac:dyDescent="0.25">
      <c r="A1420" s="10">
        <v>44421</v>
      </c>
      <c r="B1420">
        <v>304884</v>
      </c>
      <c r="C1420">
        <v>314246</v>
      </c>
      <c r="D1420" t="s">
        <v>761</v>
      </c>
      <c r="E1420">
        <v>249</v>
      </c>
    </row>
    <row r="1421" spans="1:5" x14ac:dyDescent="0.25">
      <c r="A1421" s="10">
        <v>44421</v>
      </c>
      <c r="B1421">
        <v>304884</v>
      </c>
      <c r="C1421">
        <v>425293</v>
      </c>
      <c r="D1421" t="s">
        <v>762</v>
      </c>
      <c r="E1421">
        <v>253</v>
      </c>
    </row>
    <row r="1422" spans="1:5" x14ac:dyDescent="0.25">
      <c r="A1422" s="10">
        <v>44421</v>
      </c>
      <c r="B1422">
        <v>304884</v>
      </c>
      <c r="C1422">
        <v>412800</v>
      </c>
      <c r="D1422" t="s">
        <v>763</v>
      </c>
      <c r="E1422">
        <v>257</v>
      </c>
    </row>
    <row r="1423" spans="1:5" x14ac:dyDescent="0.25">
      <c r="A1423" s="10">
        <v>44421</v>
      </c>
      <c r="B1423">
        <v>304884</v>
      </c>
      <c r="C1423">
        <v>328267</v>
      </c>
      <c r="D1423" t="s">
        <v>764</v>
      </c>
      <c r="E1423">
        <v>261</v>
      </c>
    </row>
    <row r="1424" spans="1:5" x14ac:dyDescent="0.25">
      <c r="A1424" s="10">
        <v>44421</v>
      </c>
      <c r="B1424">
        <v>304882</v>
      </c>
      <c r="C1424">
        <v>317398</v>
      </c>
      <c r="D1424" t="s">
        <v>765</v>
      </c>
      <c r="E1424">
        <v>265</v>
      </c>
    </row>
    <row r="1425" spans="1:5" x14ac:dyDescent="0.25">
      <c r="A1425" s="10">
        <v>44421</v>
      </c>
      <c r="B1425">
        <v>304883</v>
      </c>
      <c r="C1425" t="s">
        <v>149</v>
      </c>
      <c r="D1425" t="s">
        <v>766</v>
      </c>
      <c r="E1425">
        <v>324</v>
      </c>
    </row>
    <row r="1426" spans="1:5" x14ac:dyDescent="0.25">
      <c r="A1426" s="10">
        <v>44421</v>
      </c>
      <c r="B1426">
        <v>304885</v>
      </c>
      <c r="C1426">
        <v>412667</v>
      </c>
      <c r="D1426" t="s">
        <v>767</v>
      </c>
      <c r="E1426">
        <v>328</v>
      </c>
    </row>
    <row r="1427" spans="1:5" x14ac:dyDescent="0.25">
      <c r="A1427" s="10">
        <v>44421</v>
      </c>
      <c r="B1427">
        <v>304883</v>
      </c>
      <c r="C1427" t="s">
        <v>145</v>
      </c>
      <c r="D1427" t="s">
        <v>768</v>
      </c>
      <c r="E1427">
        <v>332</v>
      </c>
    </row>
    <row r="1428" spans="1:5" x14ac:dyDescent="0.25">
      <c r="A1428" s="10">
        <v>44421</v>
      </c>
      <c r="B1428">
        <v>304885</v>
      </c>
      <c r="C1428">
        <v>87750</v>
      </c>
      <c r="D1428" t="s">
        <v>769</v>
      </c>
      <c r="E1428">
        <v>336</v>
      </c>
    </row>
    <row r="1429" spans="1:5" x14ac:dyDescent="0.25">
      <c r="A1429" s="10">
        <v>44421</v>
      </c>
      <c r="B1429">
        <v>304886</v>
      </c>
      <c r="C1429">
        <v>405337</v>
      </c>
      <c r="D1429" t="s">
        <v>770</v>
      </c>
      <c r="E1429">
        <v>340</v>
      </c>
    </row>
    <row r="1430" spans="1:5" x14ac:dyDescent="0.25">
      <c r="A1430" s="10">
        <v>44421</v>
      </c>
      <c r="B1430">
        <v>304881</v>
      </c>
      <c r="C1430">
        <v>461887</v>
      </c>
      <c r="D1430" t="s">
        <v>771</v>
      </c>
      <c r="E1430">
        <v>344</v>
      </c>
    </row>
    <row r="1431" spans="1:5" x14ac:dyDescent="0.25">
      <c r="A1431" s="10">
        <v>44421</v>
      </c>
      <c r="B1431">
        <v>304881</v>
      </c>
      <c r="C1431">
        <v>415600</v>
      </c>
      <c r="D1431" t="s">
        <v>772</v>
      </c>
      <c r="E1431">
        <v>348</v>
      </c>
    </row>
    <row r="1432" spans="1:5" x14ac:dyDescent="0.25">
      <c r="A1432" s="10">
        <v>44421</v>
      </c>
      <c r="B1432">
        <v>304881</v>
      </c>
      <c r="C1432">
        <v>461885</v>
      </c>
      <c r="D1432" t="s">
        <v>773</v>
      </c>
      <c r="E1432">
        <v>352</v>
      </c>
    </row>
    <row r="1433" spans="1:5" x14ac:dyDescent="0.25">
      <c r="A1433" s="10">
        <v>44421</v>
      </c>
      <c r="B1433">
        <v>304881</v>
      </c>
      <c r="C1433">
        <v>434749</v>
      </c>
      <c r="D1433" t="s">
        <v>774</v>
      </c>
      <c r="E1433">
        <v>356</v>
      </c>
    </row>
    <row r="1434" spans="1:5" x14ac:dyDescent="0.25">
      <c r="A1434" s="10">
        <v>44421</v>
      </c>
      <c r="B1434">
        <v>304881</v>
      </c>
      <c r="C1434" t="s">
        <v>200</v>
      </c>
      <c r="D1434" t="s">
        <v>775</v>
      </c>
      <c r="E1434">
        <v>362</v>
      </c>
    </row>
    <row r="1435" spans="1:5" x14ac:dyDescent="0.25">
      <c r="A1435" s="10">
        <v>44421</v>
      </c>
      <c r="B1435">
        <v>304881</v>
      </c>
      <c r="C1435" t="s">
        <v>112</v>
      </c>
      <c r="D1435" t="s">
        <v>776</v>
      </c>
      <c r="E1435">
        <v>366</v>
      </c>
    </row>
    <row r="1436" spans="1:5" x14ac:dyDescent="0.25">
      <c r="A1436" s="10">
        <v>44421</v>
      </c>
      <c r="B1436">
        <v>304881</v>
      </c>
      <c r="C1436" t="s">
        <v>97</v>
      </c>
      <c r="D1436" t="s">
        <v>777</v>
      </c>
      <c r="E1436">
        <v>368</v>
      </c>
    </row>
    <row r="1437" spans="1:5" x14ac:dyDescent="0.25">
      <c r="A1437" s="10">
        <v>44421</v>
      </c>
      <c r="B1437">
        <v>304885</v>
      </c>
      <c r="C1437" t="s">
        <v>127</v>
      </c>
      <c r="D1437" t="s">
        <v>778</v>
      </c>
      <c r="E1437">
        <v>370</v>
      </c>
    </row>
    <row r="1438" spans="1:5" x14ac:dyDescent="0.25">
      <c r="A1438" s="10">
        <v>44421</v>
      </c>
      <c r="B1438">
        <v>304882</v>
      </c>
      <c r="C1438" t="s">
        <v>98</v>
      </c>
      <c r="D1438" t="s">
        <v>779</v>
      </c>
      <c r="E1438">
        <v>376</v>
      </c>
    </row>
    <row r="1439" spans="1:5" x14ac:dyDescent="0.25">
      <c r="A1439" s="10">
        <v>44421</v>
      </c>
      <c r="B1439">
        <v>304883</v>
      </c>
      <c r="C1439">
        <v>432597</v>
      </c>
      <c r="D1439" t="s">
        <v>780</v>
      </c>
      <c r="E1439">
        <v>321</v>
      </c>
    </row>
    <row r="1440" spans="1:5" x14ac:dyDescent="0.25">
      <c r="A1440" s="10">
        <v>44421</v>
      </c>
      <c r="B1440">
        <v>304883</v>
      </c>
      <c r="C1440" t="s">
        <v>99</v>
      </c>
      <c r="D1440" t="s">
        <v>781</v>
      </c>
      <c r="E1440">
        <v>325</v>
      </c>
    </row>
    <row r="1441" spans="1:5" x14ac:dyDescent="0.25">
      <c r="A1441" s="10">
        <v>44421</v>
      </c>
      <c r="B1441">
        <v>304883</v>
      </c>
      <c r="C1441" t="s">
        <v>323</v>
      </c>
      <c r="D1441" t="s">
        <v>782</v>
      </c>
      <c r="E1441">
        <v>329</v>
      </c>
    </row>
    <row r="1442" spans="1:5" x14ac:dyDescent="0.25">
      <c r="A1442" s="10">
        <v>44421</v>
      </c>
      <c r="B1442">
        <v>304883</v>
      </c>
      <c r="C1442" t="s">
        <v>324</v>
      </c>
      <c r="D1442" t="s">
        <v>783</v>
      </c>
      <c r="E1442">
        <v>333</v>
      </c>
    </row>
    <row r="1443" spans="1:5" x14ac:dyDescent="0.25">
      <c r="A1443" s="10">
        <v>44421</v>
      </c>
      <c r="B1443">
        <v>304883</v>
      </c>
      <c r="C1443" t="s">
        <v>309</v>
      </c>
      <c r="D1443" t="s">
        <v>784</v>
      </c>
      <c r="E1443">
        <v>337</v>
      </c>
    </row>
    <row r="1444" spans="1:5" x14ac:dyDescent="0.25">
      <c r="A1444" s="10">
        <v>44421</v>
      </c>
      <c r="B1444">
        <v>304883</v>
      </c>
      <c r="C1444">
        <v>432598</v>
      </c>
      <c r="D1444" t="s">
        <v>785</v>
      </c>
      <c r="E1444">
        <v>341</v>
      </c>
    </row>
    <row r="1445" spans="1:5" x14ac:dyDescent="0.25">
      <c r="A1445" s="10">
        <v>44421</v>
      </c>
      <c r="B1445">
        <v>304885</v>
      </c>
      <c r="C1445">
        <v>87377</v>
      </c>
      <c r="D1445" t="s">
        <v>786</v>
      </c>
      <c r="E1445">
        <v>345</v>
      </c>
    </row>
    <row r="1446" spans="1:5" x14ac:dyDescent="0.25">
      <c r="A1446" s="10">
        <v>44421</v>
      </c>
      <c r="B1446">
        <v>304885</v>
      </c>
      <c r="C1446">
        <v>414479</v>
      </c>
      <c r="D1446" t="s">
        <v>787</v>
      </c>
      <c r="E1446">
        <v>349</v>
      </c>
    </row>
    <row r="1447" spans="1:5" x14ac:dyDescent="0.25">
      <c r="A1447" s="10">
        <v>44421</v>
      </c>
      <c r="B1447">
        <v>304885</v>
      </c>
      <c r="C1447">
        <v>87376</v>
      </c>
      <c r="D1447" t="s">
        <v>788</v>
      </c>
      <c r="E1447">
        <v>353</v>
      </c>
    </row>
    <row r="1448" spans="1:5" x14ac:dyDescent="0.25">
      <c r="A1448" s="10">
        <v>44421</v>
      </c>
      <c r="B1448">
        <v>304885</v>
      </c>
      <c r="C1448">
        <v>320665</v>
      </c>
      <c r="D1448" t="s">
        <v>789</v>
      </c>
      <c r="E1448">
        <v>357</v>
      </c>
    </row>
    <row r="1449" spans="1:5" x14ac:dyDescent="0.25">
      <c r="A1449" s="10">
        <v>44421</v>
      </c>
      <c r="B1449">
        <v>304885</v>
      </c>
      <c r="C1449" t="s">
        <v>167</v>
      </c>
      <c r="D1449" t="s">
        <v>790</v>
      </c>
      <c r="E1449">
        <v>359</v>
      </c>
    </row>
    <row r="1450" spans="1:5" x14ac:dyDescent="0.25">
      <c r="A1450" s="10">
        <v>44421</v>
      </c>
      <c r="B1450">
        <v>304881</v>
      </c>
      <c r="C1450">
        <v>461886</v>
      </c>
      <c r="D1450" t="s">
        <v>791</v>
      </c>
      <c r="E1450">
        <v>361</v>
      </c>
    </row>
    <row r="1451" spans="1:5" x14ac:dyDescent="0.25">
      <c r="A1451" s="10">
        <v>44421</v>
      </c>
      <c r="B1451">
        <v>304881</v>
      </c>
      <c r="C1451">
        <v>320763</v>
      </c>
      <c r="D1451" t="s">
        <v>792</v>
      </c>
      <c r="E1451">
        <v>365</v>
      </c>
    </row>
    <row r="1452" spans="1:5" x14ac:dyDescent="0.25">
      <c r="A1452" s="10">
        <v>44421</v>
      </c>
      <c r="B1452">
        <v>304881</v>
      </c>
      <c r="C1452" t="s">
        <v>113</v>
      </c>
      <c r="D1452" t="s">
        <v>793</v>
      </c>
      <c r="E1452">
        <v>369</v>
      </c>
    </row>
    <row r="1453" spans="1:5" x14ac:dyDescent="0.25">
      <c r="A1453" s="10">
        <v>44421</v>
      </c>
      <c r="B1453">
        <v>304887</v>
      </c>
      <c r="C1453" t="s">
        <v>214</v>
      </c>
      <c r="D1453" t="s">
        <v>794</v>
      </c>
      <c r="E1453">
        <v>420</v>
      </c>
    </row>
    <row r="1454" spans="1:5" x14ac:dyDescent="0.25">
      <c r="A1454" s="10">
        <v>44421</v>
      </c>
      <c r="B1454">
        <v>304883</v>
      </c>
      <c r="C1454" t="s">
        <v>325</v>
      </c>
      <c r="D1454" t="s">
        <v>795</v>
      </c>
      <c r="E1454">
        <v>436</v>
      </c>
    </row>
    <row r="1455" spans="1:5" x14ac:dyDescent="0.25">
      <c r="A1455" s="10">
        <v>44421</v>
      </c>
      <c r="B1455">
        <v>304883</v>
      </c>
      <c r="C1455">
        <v>438438</v>
      </c>
      <c r="D1455" t="s">
        <v>796</v>
      </c>
      <c r="E1455">
        <v>438</v>
      </c>
    </row>
    <row r="1456" spans="1:5" x14ac:dyDescent="0.25">
      <c r="A1456" s="10">
        <v>44421</v>
      </c>
      <c r="B1456">
        <v>304988</v>
      </c>
      <c r="C1456" t="s">
        <v>248</v>
      </c>
      <c r="D1456" t="s">
        <v>797</v>
      </c>
      <c r="E1456">
        <v>440</v>
      </c>
    </row>
    <row r="1457" spans="1:5" x14ac:dyDescent="0.25">
      <c r="A1457" s="10">
        <v>44421</v>
      </c>
      <c r="B1457">
        <v>304887</v>
      </c>
      <c r="C1457" t="s">
        <v>326</v>
      </c>
      <c r="D1457" t="s">
        <v>798</v>
      </c>
      <c r="E1457">
        <v>468</v>
      </c>
    </row>
    <row r="1458" spans="1:5" x14ac:dyDescent="0.25">
      <c r="A1458" s="10">
        <v>44421</v>
      </c>
      <c r="B1458">
        <v>304887</v>
      </c>
      <c r="C1458" t="s">
        <v>215</v>
      </c>
      <c r="D1458" t="s">
        <v>799</v>
      </c>
      <c r="E1458">
        <v>470</v>
      </c>
    </row>
    <row r="1459" spans="1:5" x14ac:dyDescent="0.25">
      <c r="A1459" s="10">
        <v>44421</v>
      </c>
      <c r="B1459">
        <v>304882</v>
      </c>
      <c r="C1459">
        <v>472472</v>
      </c>
      <c r="D1459" t="s">
        <v>800</v>
      </c>
      <c r="E1459">
        <v>472</v>
      </c>
    </row>
    <row r="1460" spans="1:5" x14ac:dyDescent="0.25">
      <c r="A1460" s="10">
        <v>44421</v>
      </c>
      <c r="B1460">
        <v>304887</v>
      </c>
      <c r="C1460" t="s">
        <v>216</v>
      </c>
      <c r="D1460" t="s">
        <v>801</v>
      </c>
      <c r="E1460">
        <v>476</v>
      </c>
    </row>
    <row r="1461" spans="1:5" x14ac:dyDescent="0.25">
      <c r="A1461" s="10">
        <v>44421</v>
      </c>
      <c r="B1461">
        <v>304887</v>
      </c>
      <c r="C1461">
        <v>478478</v>
      </c>
      <c r="D1461" t="s">
        <v>802</v>
      </c>
      <c r="E1461">
        <v>478</v>
      </c>
    </row>
    <row r="1462" spans="1:5" x14ac:dyDescent="0.25">
      <c r="A1462" s="10">
        <v>44421</v>
      </c>
      <c r="B1462">
        <v>304884</v>
      </c>
      <c r="C1462" t="s">
        <v>327</v>
      </c>
      <c r="D1462" t="s">
        <v>803</v>
      </c>
      <c r="E1462">
        <v>419</v>
      </c>
    </row>
    <row r="1463" spans="1:5" x14ac:dyDescent="0.25">
      <c r="A1463" s="10">
        <v>44421</v>
      </c>
      <c r="B1463">
        <v>304886</v>
      </c>
      <c r="C1463" t="s">
        <v>299</v>
      </c>
      <c r="D1463" t="s">
        <v>804</v>
      </c>
      <c r="E1463">
        <v>421</v>
      </c>
    </row>
    <row r="1464" spans="1:5" x14ac:dyDescent="0.25">
      <c r="A1464" s="10">
        <v>44421</v>
      </c>
      <c r="B1464">
        <v>304881</v>
      </c>
      <c r="C1464" t="s">
        <v>115</v>
      </c>
      <c r="D1464" t="s">
        <v>805</v>
      </c>
      <c r="E1464">
        <v>423</v>
      </c>
    </row>
    <row r="1465" spans="1:5" x14ac:dyDescent="0.25">
      <c r="A1465" s="10">
        <v>44421</v>
      </c>
      <c r="B1465">
        <v>304883</v>
      </c>
      <c r="C1465" t="s">
        <v>100</v>
      </c>
      <c r="D1465" t="s">
        <v>806</v>
      </c>
      <c r="E1465">
        <v>425</v>
      </c>
    </row>
    <row r="1466" spans="1:5" x14ac:dyDescent="0.25">
      <c r="A1466" s="10">
        <v>44421</v>
      </c>
      <c r="B1466">
        <v>304884</v>
      </c>
      <c r="C1466" t="s">
        <v>101</v>
      </c>
      <c r="D1466" t="s">
        <v>807</v>
      </c>
      <c r="E1466">
        <v>520</v>
      </c>
    </row>
    <row r="1467" spans="1:5" x14ac:dyDescent="0.25">
      <c r="A1467" s="10">
        <v>44421</v>
      </c>
      <c r="B1467">
        <v>304884</v>
      </c>
      <c r="C1467" t="s">
        <v>328</v>
      </c>
      <c r="D1467" t="s">
        <v>808</v>
      </c>
      <c r="E1467">
        <v>522</v>
      </c>
    </row>
    <row r="1468" spans="1:5" x14ac:dyDescent="0.25">
      <c r="A1468" s="10">
        <v>44421</v>
      </c>
      <c r="B1468">
        <v>304884</v>
      </c>
      <c r="C1468">
        <v>524524</v>
      </c>
      <c r="D1468" t="s">
        <v>809</v>
      </c>
      <c r="E1468">
        <v>524</v>
      </c>
    </row>
    <row r="1469" spans="1:5" x14ac:dyDescent="0.25">
      <c r="A1469" s="10">
        <v>44421</v>
      </c>
      <c r="B1469">
        <v>304884</v>
      </c>
      <c r="C1469" t="s">
        <v>136</v>
      </c>
      <c r="D1469" t="s">
        <v>810</v>
      </c>
      <c r="E1469">
        <v>526</v>
      </c>
    </row>
    <row r="1470" spans="1:5" x14ac:dyDescent="0.25">
      <c r="A1470" s="10">
        <v>44421</v>
      </c>
      <c r="B1470">
        <v>304887</v>
      </c>
      <c r="C1470" t="s">
        <v>329</v>
      </c>
      <c r="D1470" t="s">
        <v>811</v>
      </c>
      <c r="E1470">
        <v>530</v>
      </c>
    </row>
    <row r="1471" spans="1:5" x14ac:dyDescent="0.25">
      <c r="A1471" s="10">
        <v>44421</v>
      </c>
      <c r="B1471">
        <v>304881</v>
      </c>
      <c r="C1471" t="s">
        <v>104</v>
      </c>
      <c r="D1471" t="s">
        <v>812</v>
      </c>
      <c r="E1471">
        <v>532</v>
      </c>
    </row>
    <row r="1472" spans="1:5" x14ac:dyDescent="0.25">
      <c r="A1472" s="10">
        <v>44421</v>
      </c>
      <c r="B1472">
        <v>304881</v>
      </c>
      <c r="C1472" t="s">
        <v>135</v>
      </c>
      <c r="D1472" t="s">
        <v>813</v>
      </c>
      <c r="E1472">
        <v>538</v>
      </c>
    </row>
    <row r="1473" spans="1:5" x14ac:dyDescent="0.25">
      <c r="A1473" s="10">
        <v>44421</v>
      </c>
      <c r="B1473">
        <v>304886</v>
      </c>
      <c r="C1473" t="s">
        <v>106</v>
      </c>
      <c r="D1473" t="s">
        <v>814</v>
      </c>
      <c r="E1473">
        <v>616</v>
      </c>
    </row>
    <row r="1474" spans="1:5" x14ac:dyDescent="0.25">
      <c r="A1474" s="10">
        <v>44421</v>
      </c>
      <c r="B1474">
        <v>304914</v>
      </c>
      <c r="C1474" t="s">
        <v>116</v>
      </c>
      <c r="D1474" t="s">
        <v>815</v>
      </c>
      <c r="E1474">
        <v>638</v>
      </c>
    </row>
    <row r="1475" spans="1:5" x14ac:dyDescent="0.25">
      <c r="A1475" s="10">
        <v>44421</v>
      </c>
      <c r="B1475">
        <v>304914</v>
      </c>
      <c r="C1475" t="s">
        <v>107</v>
      </c>
      <c r="D1475" t="s">
        <v>816</v>
      </c>
      <c r="E1475">
        <v>640</v>
      </c>
    </row>
    <row r="1476" spans="1:5" x14ac:dyDescent="0.25">
      <c r="A1476" s="10">
        <v>44421</v>
      </c>
      <c r="B1476">
        <v>304886</v>
      </c>
      <c r="C1476" t="s">
        <v>109</v>
      </c>
      <c r="D1476" t="s">
        <v>817</v>
      </c>
      <c r="E1476">
        <v>654</v>
      </c>
    </row>
    <row r="1477" spans="1:5" x14ac:dyDescent="0.25">
      <c r="A1477" s="10">
        <v>44421</v>
      </c>
      <c r="B1477">
        <v>304886</v>
      </c>
      <c r="C1477" t="s">
        <v>121</v>
      </c>
      <c r="D1477" t="s">
        <v>818</v>
      </c>
      <c r="E1477">
        <v>656</v>
      </c>
    </row>
    <row r="1478" spans="1:5" x14ac:dyDescent="0.25">
      <c r="A1478" s="10">
        <v>44421</v>
      </c>
      <c r="B1478">
        <v>304886</v>
      </c>
      <c r="C1478" t="s">
        <v>132</v>
      </c>
      <c r="D1478" t="s">
        <v>819</v>
      </c>
      <c r="E1478">
        <v>660</v>
      </c>
    </row>
    <row r="1479" spans="1:5" x14ac:dyDescent="0.25">
      <c r="A1479" s="10">
        <v>44421</v>
      </c>
      <c r="B1479">
        <v>304886</v>
      </c>
      <c r="C1479" t="s">
        <v>330</v>
      </c>
      <c r="D1479" t="s">
        <v>820</v>
      </c>
      <c r="E1479">
        <v>668</v>
      </c>
    </row>
    <row r="1480" spans="1:5" x14ac:dyDescent="0.25">
      <c r="A1480" s="10">
        <v>44421</v>
      </c>
      <c r="B1480">
        <v>304886</v>
      </c>
      <c r="C1480" t="s">
        <v>220</v>
      </c>
      <c r="D1480" t="s">
        <v>821</v>
      </c>
      <c r="E1480">
        <v>615</v>
      </c>
    </row>
    <row r="1481" spans="1:5" x14ac:dyDescent="0.25">
      <c r="A1481" s="10">
        <v>44421</v>
      </c>
      <c r="B1481">
        <v>304914</v>
      </c>
      <c r="C1481" t="s">
        <v>274</v>
      </c>
      <c r="D1481" t="s">
        <v>822</v>
      </c>
      <c r="E1481">
        <v>617</v>
      </c>
    </row>
    <row r="1482" spans="1:5" x14ac:dyDescent="0.25">
      <c r="A1482" s="10">
        <v>44421</v>
      </c>
      <c r="B1482">
        <v>304881</v>
      </c>
      <c r="C1482">
        <v>699</v>
      </c>
      <c r="D1482" t="s">
        <v>823</v>
      </c>
      <c r="E1482">
        <v>699</v>
      </c>
    </row>
    <row r="1483" spans="1:5" x14ac:dyDescent="0.25">
      <c r="A1483" s="10">
        <v>44424</v>
      </c>
      <c r="B1483">
        <v>304988</v>
      </c>
      <c r="C1483">
        <v>432600</v>
      </c>
      <c r="D1483" t="s">
        <v>824</v>
      </c>
      <c r="E1483">
        <v>124</v>
      </c>
    </row>
    <row r="1484" spans="1:5" x14ac:dyDescent="0.25">
      <c r="A1484" s="10">
        <v>44424</v>
      </c>
      <c r="B1484">
        <v>304988</v>
      </c>
      <c r="C1484">
        <v>432595</v>
      </c>
      <c r="D1484" t="s">
        <v>825</v>
      </c>
      <c r="E1484">
        <v>128</v>
      </c>
    </row>
    <row r="1485" spans="1:5" x14ac:dyDescent="0.25">
      <c r="A1485" s="10">
        <v>44424</v>
      </c>
      <c r="B1485">
        <v>304886</v>
      </c>
      <c r="C1485" t="s">
        <v>141</v>
      </c>
      <c r="D1485" t="s">
        <v>826</v>
      </c>
      <c r="E1485">
        <v>132</v>
      </c>
    </row>
    <row r="1486" spans="1:5" x14ac:dyDescent="0.25">
      <c r="A1486" s="10">
        <v>44424</v>
      </c>
      <c r="B1486">
        <v>304988</v>
      </c>
      <c r="C1486">
        <v>84334</v>
      </c>
      <c r="D1486" t="s">
        <v>827</v>
      </c>
      <c r="E1486">
        <v>136</v>
      </c>
    </row>
    <row r="1487" spans="1:5" x14ac:dyDescent="0.25">
      <c r="A1487" s="10">
        <v>44424</v>
      </c>
      <c r="B1487">
        <v>304988</v>
      </c>
      <c r="C1487">
        <v>463875</v>
      </c>
      <c r="D1487" t="s">
        <v>828</v>
      </c>
      <c r="E1487">
        <v>140</v>
      </c>
    </row>
    <row r="1488" spans="1:5" x14ac:dyDescent="0.25">
      <c r="A1488" s="10">
        <v>44424</v>
      </c>
      <c r="B1488">
        <v>304887</v>
      </c>
      <c r="C1488">
        <v>326234</v>
      </c>
      <c r="D1488" t="s">
        <v>829</v>
      </c>
      <c r="E1488">
        <v>144</v>
      </c>
    </row>
    <row r="1489" spans="1:5" x14ac:dyDescent="0.25">
      <c r="A1489" s="10">
        <v>44424</v>
      </c>
      <c r="B1489">
        <v>304882</v>
      </c>
      <c r="C1489">
        <v>317397</v>
      </c>
      <c r="D1489" t="s">
        <v>830</v>
      </c>
      <c r="E1489">
        <v>148</v>
      </c>
    </row>
    <row r="1490" spans="1:5" x14ac:dyDescent="0.25">
      <c r="A1490" s="10">
        <v>44424</v>
      </c>
      <c r="B1490">
        <v>304887</v>
      </c>
      <c r="C1490">
        <v>411264</v>
      </c>
      <c r="D1490" t="s">
        <v>831</v>
      </c>
      <c r="E1490">
        <v>152</v>
      </c>
    </row>
    <row r="1491" spans="1:5" x14ac:dyDescent="0.25">
      <c r="A1491" s="10">
        <v>44424</v>
      </c>
      <c r="B1491">
        <v>304887</v>
      </c>
      <c r="C1491">
        <v>420522</v>
      </c>
      <c r="D1491" t="s">
        <v>832</v>
      </c>
      <c r="E1491">
        <v>156</v>
      </c>
    </row>
    <row r="1492" spans="1:5" x14ac:dyDescent="0.25">
      <c r="A1492" s="10">
        <v>44424</v>
      </c>
      <c r="B1492">
        <v>304887</v>
      </c>
      <c r="C1492">
        <v>431154</v>
      </c>
      <c r="D1492" t="s">
        <v>833</v>
      </c>
      <c r="E1492">
        <v>160</v>
      </c>
    </row>
    <row r="1493" spans="1:5" x14ac:dyDescent="0.25">
      <c r="A1493" s="10">
        <v>44424</v>
      </c>
      <c r="B1493">
        <v>304881</v>
      </c>
      <c r="C1493">
        <v>434748</v>
      </c>
      <c r="D1493" t="s">
        <v>834</v>
      </c>
      <c r="E1493">
        <v>121</v>
      </c>
    </row>
    <row r="1494" spans="1:5" x14ac:dyDescent="0.25">
      <c r="A1494" s="10">
        <v>44424</v>
      </c>
      <c r="B1494">
        <v>304881</v>
      </c>
      <c r="C1494">
        <v>424959</v>
      </c>
      <c r="D1494" t="s">
        <v>835</v>
      </c>
      <c r="E1494">
        <v>125</v>
      </c>
    </row>
    <row r="1495" spans="1:5" x14ac:dyDescent="0.25">
      <c r="A1495" s="10">
        <v>44424</v>
      </c>
      <c r="B1495">
        <v>304887</v>
      </c>
      <c r="C1495">
        <v>417342</v>
      </c>
      <c r="D1495" t="s">
        <v>836</v>
      </c>
      <c r="E1495">
        <v>129</v>
      </c>
    </row>
    <row r="1496" spans="1:5" x14ac:dyDescent="0.25">
      <c r="A1496" s="10">
        <v>44424</v>
      </c>
      <c r="B1496">
        <v>304882</v>
      </c>
      <c r="C1496">
        <v>316421</v>
      </c>
      <c r="D1496" t="s">
        <v>837</v>
      </c>
      <c r="E1496">
        <v>133</v>
      </c>
    </row>
    <row r="1497" spans="1:5" x14ac:dyDescent="0.25">
      <c r="A1497" s="10">
        <v>44424</v>
      </c>
      <c r="B1497">
        <v>304881</v>
      </c>
      <c r="C1497">
        <v>404394</v>
      </c>
      <c r="D1497" t="s">
        <v>838</v>
      </c>
      <c r="E1497">
        <v>137</v>
      </c>
    </row>
    <row r="1498" spans="1:5" x14ac:dyDescent="0.25">
      <c r="A1498" s="10">
        <v>44424</v>
      </c>
      <c r="B1498">
        <v>304887</v>
      </c>
      <c r="C1498">
        <v>409256</v>
      </c>
      <c r="D1498" t="s">
        <v>839</v>
      </c>
      <c r="E1498">
        <v>141</v>
      </c>
    </row>
    <row r="1499" spans="1:5" x14ac:dyDescent="0.25">
      <c r="A1499" s="10">
        <v>44424</v>
      </c>
      <c r="B1499">
        <v>304882</v>
      </c>
      <c r="C1499">
        <v>400398</v>
      </c>
      <c r="D1499" t="s">
        <v>840</v>
      </c>
      <c r="E1499">
        <v>145</v>
      </c>
    </row>
    <row r="1500" spans="1:5" x14ac:dyDescent="0.25">
      <c r="A1500" s="10">
        <v>44424</v>
      </c>
      <c r="B1500">
        <v>304887</v>
      </c>
      <c r="C1500">
        <v>404439</v>
      </c>
      <c r="D1500" t="s">
        <v>841</v>
      </c>
      <c r="E1500">
        <v>149</v>
      </c>
    </row>
    <row r="1501" spans="1:5" x14ac:dyDescent="0.25">
      <c r="A1501" s="10">
        <v>44424</v>
      </c>
      <c r="B1501">
        <v>304887</v>
      </c>
      <c r="C1501">
        <v>417490</v>
      </c>
      <c r="D1501" t="s">
        <v>842</v>
      </c>
      <c r="E1501">
        <v>153</v>
      </c>
    </row>
    <row r="1502" spans="1:5" x14ac:dyDescent="0.25">
      <c r="A1502" s="10">
        <v>44424</v>
      </c>
      <c r="B1502">
        <v>304887</v>
      </c>
      <c r="C1502">
        <v>87502</v>
      </c>
      <c r="D1502" t="s">
        <v>843</v>
      </c>
      <c r="E1502">
        <v>157</v>
      </c>
    </row>
    <row r="1503" spans="1:5" x14ac:dyDescent="0.25">
      <c r="A1503" s="10">
        <v>44424</v>
      </c>
      <c r="B1503">
        <v>304885</v>
      </c>
      <c r="C1503">
        <v>461696</v>
      </c>
      <c r="D1503" t="s">
        <v>844</v>
      </c>
      <c r="E1503">
        <v>161</v>
      </c>
    </row>
    <row r="1504" spans="1:5" x14ac:dyDescent="0.25">
      <c r="A1504" s="10">
        <v>44424</v>
      </c>
      <c r="B1504">
        <v>304882</v>
      </c>
      <c r="C1504">
        <v>320300</v>
      </c>
      <c r="D1504" t="s">
        <v>845</v>
      </c>
      <c r="E1504">
        <v>165</v>
      </c>
    </row>
    <row r="1505" spans="1:5" x14ac:dyDescent="0.25">
      <c r="A1505" s="10">
        <v>44424</v>
      </c>
      <c r="B1505">
        <v>304882</v>
      </c>
      <c r="C1505">
        <v>80260</v>
      </c>
      <c r="D1505" t="s">
        <v>846</v>
      </c>
      <c r="E1505">
        <v>169</v>
      </c>
    </row>
    <row r="1506" spans="1:5" x14ac:dyDescent="0.25">
      <c r="A1506" s="10">
        <v>44424</v>
      </c>
      <c r="B1506">
        <v>304914</v>
      </c>
      <c r="C1506">
        <v>425044</v>
      </c>
      <c r="D1506" t="s">
        <v>847</v>
      </c>
      <c r="E1506">
        <v>224</v>
      </c>
    </row>
    <row r="1507" spans="1:5" x14ac:dyDescent="0.25">
      <c r="A1507" s="10">
        <v>44424</v>
      </c>
      <c r="B1507">
        <v>304914</v>
      </c>
      <c r="C1507">
        <v>425045</v>
      </c>
      <c r="D1507" t="s">
        <v>848</v>
      </c>
      <c r="E1507">
        <v>228</v>
      </c>
    </row>
    <row r="1508" spans="1:5" x14ac:dyDescent="0.25">
      <c r="A1508" s="10">
        <v>44424</v>
      </c>
      <c r="B1508">
        <v>304914</v>
      </c>
      <c r="C1508" t="s">
        <v>92</v>
      </c>
      <c r="D1508" t="s">
        <v>849</v>
      </c>
      <c r="E1508">
        <v>232</v>
      </c>
    </row>
    <row r="1509" spans="1:5" x14ac:dyDescent="0.25">
      <c r="A1509" s="10">
        <v>44424</v>
      </c>
      <c r="B1509">
        <v>304914</v>
      </c>
      <c r="C1509">
        <v>421733</v>
      </c>
      <c r="D1509" t="s">
        <v>850</v>
      </c>
      <c r="E1509">
        <v>236</v>
      </c>
    </row>
    <row r="1510" spans="1:5" x14ac:dyDescent="0.25">
      <c r="A1510" s="10">
        <v>44424</v>
      </c>
      <c r="B1510">
        <v>304914</v>
      </c>
      <c r="C1510">
        <v>421730</v>
      </c>
      <c r="D1510" t="s">
        <v>851</v>
      </c>
      <c r="E1510">
        <v>240</v>
      </c>
    </row>
    <row r="1511" spans="1:5" x14ac:dyDescent="0.25">
      <c r="A1511" s="10">
        <v>44424</v>
      </c>
      <c r="B1511">
        <v>304914</v>
      </c>
      <c r="C1511">
        <v>425046</v>
      </c>
      <c r="D1511" t="s">
        <v>852</v>
      </c>
      <c r="E1511">
        <v>244</v>
      </c>
    </row>
    <row r="1512" spans="1:5" x14ac:dyDescent="0.25">
      <c r="A1512" s="10">
        <v>44424</v>
      </c>
      <c r="B1512">
        <v>304914</v>
      </c>
      <c r="C1512">
        <v>425046</v>
      </c>
      <c r="D1512" t="s">
        <v>853</v>
      </c>
      <c r="E1512">
        <v>244</v>
      </c>
    </row>
    <row r="1513" spans="1:5" x14ac:dyDescent="0.25">
      <c r="A1513" s="10">
        <v>44424</v>
      </c>
      <c r="B1513">
        <v>304914</v>
      </c>
      <c r="C1513">
        <v>425046</v>
      </c>
      <c r="D1513" t="s">
        <v>854</v>
      </c>
      <c r="E1513">
        <v>244</v>
      </c>
    </row>
    <row r="1514" spans="1:5" x14ac:dyDescent="0.25">
      <c r="A1514" s="10">
        <v>44424</v>
      </c>
      <c r="B1514">
        <v>304914</v>
      </c>
      <c r="C1514">
        <v>425046</v>
      </c>
      <c r="D1514" t="s">
        <v>855</v>
      </c>
      <c r="E1514">
        <v>244</v>
      </c>
    </row>
    <row r="1515" spans="1:5" x14ac:dyDescent="0.25">
      <c r="A1515" s="10">
        <v>44424</v>
      </c>
      <c r="B1515">
        <v>304914</v>
      </c>
      <c r="C1515">
        <v>439935</v>
      </c>
      <c r="D1515" t="s">
        <v>856</v>
      </c>
      <c r="E1515">
        <v>248</v>
      </c>
    </row>
    <row r="1516" spans="1:5" x14ac:dyDescent="0.25">
      <c r="A1516" s="10">
        <v>44424</v>
      </c>
      <c r="B1516">
        <v>304914</v>
      </c>
      <c r="C1516" t="s">
        <v>93</v>
      </c>
      <c r="D1516" t="s">
        <v>857</v>
      </c>
      <c r="E1516">
        <v>252</v>
      </c>
    </row>
    <row r="1517" spans="1:5" x14ac:dyDescent="0.25">
      <c r="A1517" s="10">
        <v>44424</v>
      </c>
      <c r="B1517">
        <v>304885</v>
      </c>
      <c r="C1517">
        <v>412667</v>
      </c>
      <c r="D1517" t="s">
        <v>858</v>
      </c>
      <c r="E1517">
        <v>256</v>
      </c>
    </row>
    <row r="1518" spans="1:5" x14ac:dyDescent="0.25">
      <c r="A1518" s="10">
        <v>44424</v>
      </c>
      <c r="B1518">
        <v>304914</v>
      </c>
      <c r="C1518" t="s">
        <v>94</v>
      </c>
      <c r="D1518" t="s">
        <v>859</v>
      </c>
      <c r="E1518">
        <v>260</v>
      </c>
    </row>
    <row r="1519" spans="1:5" x14ac:dyDescent="0.25">
      <c r="A1519" s="10">
        <v>44424</v>
      </c>
      <c r="B1519">
        <v>304914</v>
      </c>
      <c r="C1519">
        <v>262262</v>
      </c>
      <c r="D1519" t="s">
        <v>860</v>
      </c>
      <c r="E1519">
        <v>262</v>
      </c>
    </row>
    <row r="1520" spans="1:5" x14ac:dyDescent="0.25">
      <c r="A1520" s="10">
        <v>44424</v>
      </c>
      <c r="B1520">
        <v>304914</v>
      </c>
      <c r="C1520" t="s">
        <v>124</v>
      </c>
      <c r="D1520" t="s">
        <v>861</v>
      </c>
      <c r="E1520">
        <v>264</v>
      </c>
    </row>
    <row r="1521" spans="1:5" x14ac:dyDescent="0.25">
      <c r="A1521" s="10">
        <v>44424</v>
      </c>
      <c r="B1521">
        <v>304914</v>
      </c>
      <c r="C1521">
        <v>266266</v>
      </c>
      <c r="D1521" t="s">
        <v>862</v>
      </c>
      <c r="E1521">
        <v>266</v>
      </c>
    </row>
    <row r="1522" spans="1:5" x14ac:dyDescent="0.25">
      <c r="A1522" s="10">
        <v>44424</v>
      </c>
      <c r="B1522">
        <v>304884</v>
      </c>
      <c r="C1522">
        <v>99450</v>
      </c>
      <c r="D1522" t="s">
        <v>863</v>
      </c>
      <c r="E1522">
        <v>221</v>
      </c>
    </row>
    <row r="1523" spans="1:5" x14ac:dyDescent="0.25">
      <c r="A1523" s="10">
        <v>44424</v>
      </c>
      <c r="B1523">
        <v>304884</v>
      </c>
      <c r="C1523">
        <v>403441</v>
      </c>
      <c r="D1523" t="s">
        <v>864</v>
      </c>
      <c r="E1523">
        <v>225</v>
      </c>
    </row>
    <row r="1524" spans="1:5" x14ac:dyDescent="0.25">
      <c r="A1524" s="10">
        <v>44424</v>
      </c>
      <c r="B1524">
        <v>304884</v>
      </c>
      <c r="C1524">
        <v>86159</v>
      </c>
      <c r="D1524" t="s">
        <v>865</v>
      </c>
      <c r="E1524">
        <v>229</v>
      </c>
    </row>
    <row r="1525" spans="1:5" x14ac:dyDescent="0.25">
      <c r="A1525" s="10">
        <v>44424</v>
      </c>
      <c r="B1525">
        <v>304988</v>
      </c>
      <c r="C1525">
        <v>303354</v>
      </c>
      <c r="D1525" t="s">
        <v>866</v>
      </c>
      <c r="E1525">
        <v>233</v>
      </c>
    </row>
    <row r="1526" spans="1:5" x14ac:dyDescent="0.25">
      <c r="A1526" s="10">
        <v>44424</v>
      </c>
      <c r="B1526">
        <v>304988</v>
      </c>
      <c r="C1526">
        <v>85227</v>
      </c>
      <c r="D1526" t="s">
        <v>867</v>
      </c>
      <c r="E1526">
        <v>237</v>
      </c>
    </row>
    <row r="1527" spans="1:5" x14ac:dyDescent="0.25">
      <c r="A1527" s="10">
        <v>44424</v>
      </c>
      <c r="B1527">
        <v>304884</v>
      </c>
      <c r="C1527">
        <v>423185</v>
      </c>
      <c r="D1527" t="s">
        <v>868</v>
      </c>
      <c r="E1527">
        <v>241</v>
      </c>
    </row>
    <row r="1528" spans="1:5" x14ac:dyDescent="0.25">
      <c r="A1528" s="10">
        <v>44424</v>
      </c>
      <c r="B1528">
        <v>304884</v>
      </c>
      <c r="C1528">
        <v>423185</v>
      </c>
      <c r="D1528" t="s">
        <v>869</v>
      </c>
      <c r="E1528">
        <v>241</v>
      </c>
    </row>
    <row r="1529" spans="1:5" x14ac:dyDescent="0.25">
      <c r="A1529" s="10">
        <v>44424</v>
      </c>
      <c r="B1529">
        <v>304884</v>
      </c>
      <c r="C1529">
        <v>423185</v>
      </c>
      <c r="D1529" t="s">
        <v>870</v>
      </c>
      <c r="E1529">
        <v>241</v>
      </c>
    </row>
    <row r="1530" spans="1:5" x14ac:dyDescent="0.25">
      <c r="A1530" s="10">
        <v>44424</v>
      </c>
      <c r="B1530">
        <v>304882</v>
      </c>
      <c r="C1530">
        <v>316420</v>
      </c>
      <c r="D1530" t="s">
        <v>871</v>
      </c>
      <c r="E1530">
        <v>245</v>
      </c>
    </row>
    <row r="1531" spans="1:5" x14ac:dyDescent="0.25">
      <c r="A1531" s="10">
        <v>44424</v>
      </c>
      <c r="B1531">
        <v>304884</v>
      </c>
      <c r="C1531">
        <v>314246</v>
      </c>
      <c r="D1531" t="s">
        <v>872</v>
      </c>
      <c r="E1531">
        <v>249</v>
      </c>
    </row>
    <row r="1532" spans="1:5" x14ac:dyDescent="0.25">
      <c r="A1532" s="10">
        <v>44424</v>
      </c>
      <c r="B1532">
        <v>304884</v>
      </c>
      <c r="C1532">
        <v>425293</v>
      </c>
      <c r="D1532" t="s">
        <v>873</v>
      </c>
      <c r="E1532">
        <v>253</v>
      </c>
    </row>
    <row r="1533" spans="1:5" x14ac:dyDescent="0.25">
      <c r="A1533" s="10">
        <v>44424</v>
      </c>
      <c r="B1533">
        <v>304884</v>
      </c>
      <c r="C1533">
        <v>412800</v>
      </c>
      <c r="D1533" t="s">
        <v>874</v>
      </c>
      <c r="E1533">
        <v>257</v>
      </c>
    </row>
    <row r="1534" spans="1:5" x14ac:dyDescent="0.25">
      <c r="A1534" s="10">
        <v>44424</v>
      </c>
      <c r="B1534">
        <v>304884</v>
      </c>
      <c r="C1534">
        <v>328267</v>
      </c>
      <c r="D1534" t="s">
        <v>875</v>
      </c>
      <c r="E1534">
        <v>261</v>
      </c>
    </row>
    <row r="1535" spans="1:5" x14ac:dyDescent="0.25">
      <c r="A1535" s="10">
        <v>44424</v>
      </c>
      <c r="B1535">
        <v>304882</v>
      </c>
      <c r="C1535">
        <v>317398</v>
      </c>
      <c r="D1535" t="s">
        <v>876</v>
      </c>
      <c r="E1535">
        <v>265</v>
      </c>
    </row>
    <row r="1536" spans="1:5" x14ac:dyDescent="0.25">
      <c r="A1536" s="10">
        <v>44424</v>
      </c>
      <c r="B1536">
        <v>304883</v>
      </c>
      <c r="C1536">
        <v>404328</v>
      </c>
      <c r="D1536" t="s">
        <v>877</v>
      </c>
      <c r="E1536">
        <v>324</v>
      </c>
    </row>
    <row r="1537" spans="1:5" x14ac:dyDescent="0.25">
      <c r="A1537" s="10">
        <v>44424</v>
      </c>
      <c r="B1537">
        <v>304885</v>
      </c>
      <c r="C1537">
        <v>402666</v>
      </c>
      <c r="D1537" t="s">
        <v>878</v>
      </c>
      <c r="E1537">
        <v>328</v>
      </c>
    </row>
    <row r="1538" spans="1:5" x14ac:dyDescent="0.25">
      <c r="A1538" s="10">
        <v>44424</v>
      </c>
      <c r="B1538">
        <v>304883</v>
      </c>
      <c r="C1538" t="s">
        <v>145</v>
      </c>
      <c r="D1538" t="s">
        <v>879</v>
      </c>
      <c r="E1538">
        <v>332</v>
      </c>
    </row>
    <row r="1539" spans="1:5" x14ac:dyDescent="0.25">
      <c r="A1539" s="10">
        <v>44424</v>
      </c>
      <c r="B1539">
        <v>304885</v>
      </c>
      <c r="C1539">
        <v>87750</v>
      </c>
      <c r="D1539" t="s">
        <v>880</v>
      </c>
      <c r="E1539">
        <v>336</v>
      </c>
    </row>
    <row r="1540" spans="1:5" x14ac:dyDescent="0.25">
      <c r="A1540" s="10">
        <v>44424</v>
      </c>
      <c r="B1540">
        <v>304886</v>
      </c>
      <c r="C1540">
        <v>405337</v>
      </c>
      <c r="D1540" t="s">
        <v>881</v>
      </c>
      <c r="E1540">
        <v>340</v>
      </c>
    </row>
    <row r="1541" spans="1:5" x14ac:dyDescent="0.25">
      <c r="A1541" s="10">
        <v>44424</v>
      </c>
      <c r="B1541">
        <v>304881</v>
      </c>
      <c r="C1541">
        <v>461887</v>
      </c>
      <c r="D1541" t="s">
        <v>882</v>
      </c>
      <c r="E1541">
        <v>344</v>
      </c>
    </row>
    <row r="1542" spans="1:5" x14ac:dyDescent="0.25">
      <c r="A1542" s="10">
        <v>44424</v>
      </c>
      <c r="B1542">
        <v>304881</v>
      </c>
      <c r="C1542">
        <v>415600</v>
      </c>
      <c r="D1542" t="s">
        <v>883</v>
      </c>
      <c r="E1542">
        <v>348</v>
      </c>
    </row>
    <row r="1543" spans="1:5" x14ac:dyDescent="0.25">
      <c r="A1543" s="10">
        <v>44424</v>
      </c>
      <c r="B1543">
        <v>304881</v>
      </c>
      <c r="C1543">
        <v>461885</v>
      </c>
      <c r="D1543" t="s">
        <v>884</v>
      </c>
      <c r="E1543">
        <v>352</v>
      </c>
    </row>
    <row r="1544" spans="1:5" x14ac:dyDescent="0.25">
      <c r="A1544" s="10">
        <v>44424</v>
      </c>
      <c r="B1544">
        <v>304881</v>
      </c>
      <c r="C1544">
        <v>434749</v>
      </c>
      <c r="D1544" t="s">
        <v>885</v>
      </c>
      <c r="E1544">
        <v>356</v>
      </c>
    </row>
    <row r="1545" spans="1:5" x14ac:dyDescent="0.25">
      <c r="A1545" s="10">
        <v>44424</v>
      </c>
      <c r="B1545">
        <v>304881</v>
      </c>
      <c r="C1545" t="s">
        <v>96</v>
      </c>
      <c r="D1545" t="s">
        <v>886</v>
      </c>
      <c r="E1545">
        <v>362</v>
      </c>
    </row>
    <row r="1546" spans="1:5" x14ac:dyDescent="0.25">
      <c r="A1546" s="10">
        <v>44424</v>
      </c>
      <c r="B1546">
        <v>304881</v>
      </c>
      <c r="C1546" t="s">
        <v>112</v>
      </c>
      <c r="D1546" t="s">
        <v>887</v>
      </c>
      <c r="E1546">
        <v>366</v>
      </c>
    </row>
    <row r="1547" spans="1:5" x14ac:dyDescent="0.25">
      <c r="A1547" s="10">
        <v>44424</v>
      </c>
      <c r="B1547">
        <v>304881</v>
      </c>
      <c r="C1547" t="s">
        <v>97</v>
      </c>
      <c r="D1547" t="s">
        <v>888</v>
      </c>
      <c r="E1547">
        <v>368</v>
      </c>
    </row>
    <row r="1548" spans="1:5" x14ac:dyDescent="0.25">
      <c r="A1548" s="10">
        <v>44424</v>
      </c>
      <c r="B1548">
        <v>304885</v>
      </c>
      <c r="C1548" t="s">
        <v>127</v>
      </c>
      <c r="D1548" t="s">
        <v>889</v>
      </c>
      <c r="E1548">
        <v>370</v>
      </c>
    </row>
    <row r="1549" spans="1:5" x14ac:dyDescent="0.25">
      <c r="A1549" s="10">
        <v>44424</v>
      </c>
      <c r="B1549">
        <v>304882</v>
      </c>
      <c r="C1549" t="s">
        <v>98</v>
      </c>
      <c r="D1549" t="s">
        <v>890</v>
      </c>
      <c r="E1549">
        <v>376</v>
      </c>
    </row>
    <row r="1550" spans="1:5" x14ac:dyDescent="0.25">
      <c r="A1550" s="10">
        <v>44424</v>
      </c>
      <c r="B1550">
        <v>304883</v>
      </c>
      <c r="C1550">
        <v>432597</v>
      </c>
      <c r="D1550" t="s">
        <v>891</v>
      </c>
      <c r="E1550">
        <v>321</v>
      </c>
    </row>
    <row r="1551" spans="1:5" x14ac:dyDescent="0.25">
      <c r="A1551" s="10">
        <v>44424</v>
      </c>
      <c r="B1551">
        <v>304883</v>
      </c>
      <c r="C1551" t="s">
        <v>99</v>
      </c>
      <c r="D1551" t="s">
        <v>892</v>
      </c>
      <c r="E1551">
        <v>325</v>
      </c>
    </row>
    <row r="1552" spans="1:5" x14ac:dyDescent="0.25">
      <c r="A1552" s="10">
        <v>44424</v>
      </c>
      <c r="B1552">
        <v>304883</v>
      </c>
      <c r="C1552" t="s">
        <v>272</v>
      </c>
      <c r="D1552" t="s">
        <v>893</v>
      </c>
      <c r="E1552">
        <v>329</v>
      </c>
    </row>
    <row r="1553" spans="1:5" x14ac:dyDescent="0.25">
      <c r="A1553" s="10">
        <v>44424</v>
      </c>
      <c r="B1553">
        <v>304883</v>
      </c>
      <c r="C1553" t="s">
        <v>331</v>
      </c>
      <c r="D1553" t="s">
        <v>894</v>
      </c>
      <c r="E1553">
        <v>333</v>
      </c>
    </row>
    <row r="1554" spans="1:5" x14ac:dyDescent="0.25">
      <c r="A1554" s="10">
        <v>44424</v>
      </c>
      <c r="B1554">
        <v>304883</v>
      </c>
      <c r="C1554" t="s">
        <v>309</v>
      </c>
      <c r="D1554" t="s">
        <v>895</v>
      </c>
      <c r="E1554">
        <v>337</v>
      </c>
    </row>
    <row r="1555" spans="1:5" x14ac:dyDescent="0.25">
      <c r="A1555" s="10">
        <v>44424</v>
      </c>
      <c r="B1555">
        <v>304883</v>
      </c>
      <c r="C1555">
        <v>432598</v>
      </c>
      <c r="D1555" t="s">
        <v>896</v>
      </c>
      <c r="E1555">
        <v>341</v>
      </c>
    </row>
    <row r="1556" spans="1:5" x14ac:dyDescent="0.25">
      <c r="A1556" s="10">
        <v>44424</v>
      </c>
      <c r="B1556">
        <v>304885</v>
      </c>
      <c r="C1556">
        <v>414479</v>
      </c>
      <c r="D1556" t="s">
        <v>897</v>
      </c>
      <c r="E1556">
        <v>345</v>
      </c>
    </row>
    <row r="1557" spans="1:5" x14ac:dyDescent="0.25">
      <c r="A1557" s="10">
        <v>44424</v>
      </c>
      <c r="B1557">
        <v>304885</v>
      </c>
      <c r="C1557">
        <v>87377</v>
      </c>
      <c r="D1557" t="s">
        <v>898</v>
      </c>
      <c r="E1557">
        <v>349</v>
      </c>
    </row>
    <row r="1558" spans="1:5" x14ac:dyDescent="0.25">
      <c r="A1558" s="10">
        <v>44424</v>
      </c>
      <c r="B1558">
        <v>304885</v>
      </c>
      <c r="C1558">
        <v>87376</v>
      </c>
      <c r="D1558" t="s">
        <v>899</v>
      </c>
      <c r="E1558">
        <v>353</v>
      </c>
    </row>
    <row r="1559" spans="1:5" x14ac:dyDescent="0.25">
      <c r="A1559" s="10">
        <v>44424</v>
      </c>
      <c r="B1559">
        <v>304885</v>
      </c>
      <c r="C1559">
        <v>320665</v>
      </c>
      <c r="D1559" t="s">
        <v>900</v>
      </c>
      <c r="E1559">
        <v>357</v>
      </c>
    </row>
    <row r="1560" spans="1:5" x14ac:dyDescent="0.25">
      <c r="A1560" s="10">
        <v>44424</v>
      </c>
      <c r="B1560">
        <v>304881</v>
      </c>
      <c r="C1560">
        <v>461886</v>
      </c>
      <c r="D1560" t="s">
        <v>901</v>
      </c>
      <c r="E1560">
        <v>361</v>
      </c>
    </row>
    <row r="1561" spans="1:5" x14ac:dyDescent="0.25">
      <c r="A1561" s="10">
        <v>44424</v>
      </c>
      <c r="B1561">
        <v>304881</v>
      </c>
      <c r="C1561">
        <v>320763</v>
      </c>
      <c r="D1561" t="s">
        <v>902</v>
      </c>
      <c r="E1561">
        <v>365</v>
      </c>
    </row>
    <row r="1562" spans="1:5" x14ac:dyDescent="0.25">
      <c r="A1562" s="10">
        <v>44424</v>
      </c>
      <c r="B1562">
        <v>304881</v>
      </c>
      <c r="C1562" t="s">
        <v>113</v>
      </c>
      <c r="D1562" t="s">
        <v>903</v>
      </c>
      <c r="E1562">
        <v>369</v>
      </c>
    </row>
    <row r="1563" spans="1:5" x14ac:dyDescent="0.25">
      <c r="A1563" s="10">
        <v>44424</v>
      </c>
      <c r="B1563">
        <v>304887</v>
      </c>
      <c r="C1563">
        <v>203589</v>
      </c>
      <c r="D1563" t="s">
        <v>904</v>
      </c>
      <c r="E1563">
        <v>420</v>
      </c>
    </row>
    <row r="1564" spans="1:5" x14ac:dyDescent="0.25">
      <c r="A1564" s="10">
        <v>44424</v>
      </c>
      <c r="B1564">
        <v>304883</v>
      </c>
      <c r="C1564" t="s">
        <v>332</v>
      </c>
      <c r="D1564" t="s">
        <v>905</v>
      </c>
      <c r="E1564">
        <v>436</v>
      </c>
    </row>
    <row r="1565" spans="1:5" x14ac:dyDescent="0.25">
      <c r="A1565" s="10">
        <v>44424</v>
      </c>
      <c r="B1565">
        <v>304883</v>
      </c>
      <c r="C1565">
        <v>438438</v>
      </c>
      <c r="D1565" t="s">
        <v>906</v>
      </c>
      <c r="E1565">
        <v>438</v>
      </c>
    </row>
    <row r="1566" spans="1:5" x14ac:dyDescent="0.25">
      <c r="A1566" s="10">
        <v>44424</v>
      </c>
      <c r="B1566">
        <v>304988</v>
      </c>
      <c r="C1566" t="s">
        <v>248</v>
      </c>
      <c r="D1566" t="s">
        <v>907</v>
      </c>
      <c r="E1566">
        <v>440</v>
      </c>
    </row>
    <row r="1567" spans="1:5" x14ac:dyDescent="0.25">
      <c r="A1567" s="10">
        <v>44424</v>
      </c>
      <c r="B1567">
        <v>304887</v>
      </c>
      <c r="C1567" t="s">
        <v>333</v>
      </c>
      <c r="D1567" t="s">
        <v>908</v>
      </c>
      <c r="E1567">
        <v>468</v>
      </c>
    </row>
    <row r="1568" spans="1:5" x14ac:dyDescent="0.25">
      <c r="A1568" s="10">
        <v>44424</v>
      </c>
      <c r="B1568">
        <v>304882</v>
      </c>
      <c r="C1568" t="s">
        <v>120</v>
      </c>
      <c r="D1568" t="s">
        <v>909</v>
      </c>
      <c r="E1568">
        <v>472</v>
      </c>
    </row>
    <row r="1569" spans="1:5" x14ac:dyDescent="0.25">
      <c r="A1569" s="10">
        <v>44424</v>
      </c>
      <c r="B1569">
        <v>304884</v>
      </c>
      <c r="C1569">
        <v>305177</v>
      </c>
      <c r="D1569" t="s">
        <v>910</v>
      </c>
      <c r="E1569">
        <v>419</v>
      </c>
    </row>
    <row r="1570" spans="1:5" x14ac:dyDescent="0.25">
      <c r="A1570" s="10">
        <v>44424</v>
      </c>
      <c r="B1570">
        <v>304886</v>
      </c>
      <c r="C1570">
        <v>14958</v>
      </c>
      <c r="D1570" t="s">
        <v>911</v>
      </c>
      <c r="E1570">
        <v>421</v>
      </c>
    </row>
    <row r="1571" spans="1:5" x14ac:dyDescent="0.25">
      <c r="A1571" s="10">
        <v>44424</v>
      </c>
      <c r="B1571">
        <v>304881</v>
      </c>
      <c r="C1571" t="s">
        <v>115</v>
      </c>
      <c r="D1571" t="s">
        <v>912</v>
      </c>
      <c r="E1571">
        <v>423</v>
      </c>
    </row>
    <row r="1572" spans="1:5" x14ac:dyDescent="0.25">
      <c r="A1572" s="10">
        <v>44424</v>
      </c>
      <c r="B1572">
        <v>304883</v>
      </c>
      <c r="C1572" t="s">
        <v>100</v>
      </c>
      <c r="D1572" t="s">
        <v>913</v>
      </c>
      <c r="E1572">
        <v>425</v>
      </c>
    </row>
    <row r="1573" spans="1:5" x14ac:dyDescent="0.25">
      <c r="A1573" s="10">
        <v>44424</v>
      </c>
      <c r="B1573">
        <v>304884</v>
      </c>
      <c r="C1573" t="s">
        <v>101</v>
      </c>
      <c r="D1573" t="s">
        <v>914</v>
      </c>
      <c r="E1573">
        <v>520</v>
      </c>
    </row>
    <row r="1574" spans="1:5" x14ac:dyDescent="0.25">
      <c r="A1574" s="10">
        <v>44424</v>
      </c>
      <c r="B1574">
        <v>304884</v>
      </c>
      <c r="C1574">
        <v>524524</v>
      </c>
      <c r="D1574" t="s">
        <v>915</v>
      </c>
      <c r="E1574">
        <v>524</v>
      </c>
    </row>
    <row r="1575" spans="1:5" x14ac:dyDescent="0.25">
      <c r="A1575" s="10">
        <v>44424</v>
      </c>
      <c r="B1575">
        <v>304884</v>
      </c>
      <c r="C1575" t="s">
        <v>123</v>
      </c>
      <c r="D1575" t="s">
        <v>916</v>
      </c>
      <c r="E1575">
        <v>526</v>
      </c>
    </row>
    <row r="1576" spans="1:5" x14ac:dyDescent="0.25">
      <c r="A1576" s="10">
        <v>44424</v>
      </c>
      <c r="B1576">
        <v>304884</v>
      </c>
      <c r="C1576" t="s">
        <v>123</v>
      </c>
      <c r="D1576" t="s">
        <v>917</v>
      </c>
      <c r="E1576">
        <v>526</v>
      </c>
    </row>
    <row r="1577" spans="1:5" x14ac:dyDescent="0.25">
      <c r="A1577" s="10">
        <v>44424</v>
      </c>
      <c r="B1577">
        <v>304884</v>
      </c>
      <c r="C1577" t="s">
        <v>123</v>
      </c>
      <c r="D1577" t="s">
        <v>918</v>
      </c>
      <c r="E1577">
        <v>526</v>
      </c>
    </row>
    <row r="1578" spans="1:5" x14ac:dyDescent="0.25">
      <c r="A1578" s="10">
        <v>44424</v>
      </c>
      <c r="B1578">
        <v>304887</v>
      </c>
      <c r="C1578" t="s">
        <v>334</v>
      </c>
      <c r="D1578" t="s">
        <v>919</v>
      </c>
      <c r="E1578">
        <v>530</v>
      </c>
    </row>
    <row r="1579" spans="1:5" x14ac:dyDescent="0.25">
      <c r="A1579" s="10">
        <v>44424</v>
      </c>
      <c r="B1579">
        <v>304881</v>
      </c>
      <c r="C1579" t="s">
        <v>104</v>
      </c>
      <c r="D1579" t="s">
        <v>920</v>
      </c>
      <c r="E1579">
        <v>532</v>
      </c>
    </row>
    <row r="1580" spans="1:5" x14ac:dyDescent="0.25">
      <c r="A1580" s="10">
        <v>44424</v>
      </c>
      <c r="B1580">
        <v>304881</v>
      </c>
      <c r="C1580">
        <v>536536</v>
      </c>
      <c r="D1580" t="s">
        <v>921</v>
      </c>
      <c r="E1580">
        <v>536</v>
      </c>
    </row>
    <row r="1581" spans="1:5" x14ac:dyDescent="0.25">
      <c r="A1581" s="10">
        <v>44424</v>
      </c>
      <c r="B1581">
        <v>304881</v>
      </c>
      <c r="C1581">
        <v>303810</v>
      </c>
      <c r="D1581" t="s">
        <v>922</v>
      </c>
      <c r="E1581">
        <v>538</v>
      </c>
    </row>
    <row r="1582" spans="1:5" x14ac:dyDescent="0.25">
      <c r="A1582" s="10">
        <v>44424</v>
      </c>
      <c r="B1582">
        <v>304887</v>
      </c>
      <c r="C1582">
        <v>542542</v>
      </c>
      <c r="D1582" t="s">
        <v>923</v>
      </c>
      <c r="E1582">
        <v>542</v>
      </c>
    </row>
    <row r="1583" spans="1:5" x14ac:dyDescent="0.25">
      <c r="A1583" s="10">
        <v>44424</v>
      </c>
      <c r="B1583">
        <v>304886</v>
      </c>
      <c r="C1583" t="s">
        <v>106</v>
      </c>
      <c r="D1583" t="s">
        <v>924</v>
      </c>
      <c r="E1583">
        <v>616</v>
      </c>
    </row>
    <row r="1584" spans="1:5" x14ac:dyDescent="0.25">
      <c r="A1584" s="10">
        <v>44424</v>
      </c>
      <c r="B1584">
        <v>304885</v>
      </c>
      <c r="C1584" t="s">
        <v>108</v>
      </c>
      <c r="D1584" t="s">
        <v>925</v>
      </c>
      <c r="E1584">
        <v>642</v>
      </c>
    </row>
    <row r="1585" spans="1:5" x14ac:dyDescent="0.25">
      <c r="A1585" s="10">
        <v>44424</v>
      </c>
      <c r="B1585">
        <v>304885</v>
      </c>
      <c r="C1585" t="s">
        <v>108</v>
      </c>
      <c r="D1585" t="s">
        <v>926</v>
      </c>
      <c r="E1585">
        <v>642</v>
      </c>
    </row>
    <row r="1586" spans="1:5" x14ac:dyDescent="0.25">
      <c r="A1586" s="10">
        <v>44424</v>
      </c>
      <c r="B1586">
        <v>304885</v>
      </c>
      <c r="C1586" t="s">
        <v>108</v>
      </c>
      <c r="D1586" t="s">
        <v>927</v>
      </c>
      <c r="E1586">
        <v>642</v>
      </c>
    </row>
    <row r="1587" spans="1:5" x14ac:dyDescent="0.25">
      <c r="A1587" s="10">
        <v>44424</v>
      </c>
      <c r="B1587">
        <v>304886</v>
      </c>
      <c r="C1587" t="s">
        <v>109</v>
      </c>
      <c r="D1587" t="s">
        <v>928</v>
      </c>
      <c r="E1587">
        <v>654</v>
      </c>
    </row>
    <row r="1588" spans="1:5" x14ac:dyDescent="0.25">
      <c r="A1588" s="10">
        <v>44424</v>
      </c>
      <c r="B1588">
        <v>304886</v>
      </c>
      <c r="C1588" t="s">
        <v>172</v>
      </c>
      <c r="D1588" t="s">
        <v>929</v>
      </c>
      <c r="E1588">
        <v>656</v>
      </c>
    </row>
    <row r="1589" spans="1:5" x14ac:dyDescent="0.25">
      <c r="A1589" s="10">
        <v>44424</v>
      </c>
      <c r="B1589">
        <v>304886</v>
      </c>
      <c r="C1589" t="s">
        <v>161</v>
      </c>
      <c r="D1589" t="s">
        <v>930</v>
      </c>
      <c r="E1589">
        <v>660</v>
      </c>
    </row>
    <row r="1590" spans="1:5" x14ac:dyDescent="0.25">
      <c r="A1590" s="10">
        <v>44424</v>
      </c>
      <c r="B1590">
        <v>304914</v>
      </c>
      <c r="C1590" t="s">
        <v>335</v>
      </c>
      <c r="D1590" t="s">
        <v>931</v>
      </c>
      <c r="E1590">
        <v>662</v>
      </c>
    </row>
    <row r="1591" spans="1:5" x14ac:dyDescent="0.25">
      <c r="A1591" s="10">
        <v>44424</v>
      </c>
      <c r="B1591">
        <v>304886</v>
      </c>
      <c r="C1591" t="s">
        <v>220</v>
      </c>
      <c r="D1591" t="s">
        <v>932</v>
      </c>
      <c r="E1591">
        <v>615</v>
      </c>
    </row>
    <row r="1592" spans="1:5" x14ac:dyDescent="0.25">
      <c r="A1592" s="10">
        <v>44424</v>
      </c>
      <c r="B1592">
        <v>304914</v>
      </c>
      <c r="C1592" t="s">
        <v>274</v>
      </c>
      <c r="D1592" t="s">
        <v>933</v>
      </c>
      <c r="E1592">
        <v>617</v>
      </c>
    </row>
    <row r="1593" spans="1:5" x14ac:dyDescent="0.25">
      <c r="A1593" s="10">
        <v>44425</v>
      </c>
      <c r="B1593">
        <v>304988</v>
      </c>
      <c r="C1593">
        <v>432600</v>
      </c>
      <c r="D1593" t="s">
        <v>417</v>
      </c>
      <c r="E1593">
        <v>124</v>
      </c>
    </row>
    <row r="1594" spans="1:5" x14ac:dyDescent="0.25">
      <c r="A1594" s="10">
        <v>44425</v>
      </c>
      <c r="B1594">
        <v>304988</v>
      </c>
      <c r="C1594">
        <v>432595</v>
      </c>
      <c r="D1594" t="s">
        <v>418</v>
      </c>
      <c r="E1594">
        <v>128</v>
      </c>
    </row>
    <row r="1595" spans="1:5" x14ac:dyDescent="0.25">
      <c r="A1595" s="10">
        <v>44425</v>
      </c>
      <c r="B1595">
        <v>304886</v>
      </c>
      <c r="C1595" t="s">
        <v>304</v>
      </c>
      <c r="D1595" t="s">
        <v>419</v>
      </c>
      <c r="E1595">
        <v>132</v>
      </c>
    </row>
    <row r="1596" spans="1:5" x14ac:dyDescent="0.25">
      <c r="A1596" s="10">
        <v>44425</v>
      </c>
      <c r="B1596">
        <v>304988</v>
      </c>
      <c r="C1596">
        <v>84334</v>
      </c>
      <c r="D1596" t="s">
        <v>420</v>
      </c>
      <c r="E1596">
        <v>136</v>
      </c>
    </row>
    <row r="1597" spans="1:5" x14ac:dyDescent="0.25">
      <c r="A1597" s="10">
        <v>44425</v>
      </c>
      <c r="B1597">
        <v>304988</v>
      </c>
      <c r="C1597">
        <v>463875</v>
      </c>
      <c r="D1597" t="s">
        <v>421</v>
      </c>
      <c r="E1597">
        <v>140</v>
      </c>
    </row>
    <row r="1598" spans="1:5" x14ac:dyDescent="0.25">
      <c r="A1598" s="10">
        <v>44425</v>
      </c>
      <c r="B1598">
        <v>304887</v>
      </c>
      <c r="C1598">
        <v>326234</v>
      </c>
      <c r="D1598" t="s">
        <v>422</v>
      </c>
      <c r="E1598">
        <v>144</v>
      </c>
    </row>
    <row r="1599" spans="1:5" x14ac:dyDescent="0.25">
      <c r="A1599" s="10">
        <v>44425</v>
      </c>
      <c r="B1599">
        <v>304882</v>
      </c>
      <c r="C1599">
        <v>317397</v>
      </c>
      <c r="D1599" t="s">
        <v>423</v>
      </c>
      <c r="E1599">
        <v>148</v>
      </c>
    </row>
    <row r="1600" spans="1:5" x14ac:dyDescent="0.25">
      <c r="A1600" s="10">
        <v>44425</v>
      </c>
      <c r="B1600">
        <v>304887</v>
      </c>
      <c r="C1600">
        <v>411264</v>
      </c>
      <c r="D1600" t="s">
        <v>424</v>
      </c>
      <c r="E1600">
        <v>152</v>
      </c>
    </row>
    <row r="1601" spans="1:5" x14ac:dyDescent="0.25">
      <c r="A1601" s="10">
        <v>44425</v>
      </c>
      <c r="B1601">
        <v>304887</v>
      </c>
      <c r="C1601">
        <v>420522</v>
      </c>
      <c r="D1601" t="s">
        <v>425</v>
      </c>
      <c r="E1601">
        <v>156</v>
      </c>
    </row>
    <row r="1602" spans="1:5" x14ac:dyDescent="0.25">
      <c r="A1602" s="10">
        <v>44425</v>
      </c>
      <c r="B1602">
        <v>304887</v>
      </c>
      <c r="C1602">
        <v>431154</v>
      </c>
      <c r="D1602" t="s">
        <v>426</v>
      </c>
      <c r="E1602">
        <v>160</v>
      </c>
    </row>
    <row r="1603" spans="1:5" x14ac:dyDescent="0.25">
      <c r="A1603" s="10">
        <v>44425</v>
      </c>
      <c r="B1603">
        <v>304887</v>
      </c>
      <c r="C1603" t="s">
        <v>128</v>
      </c>
      <c r="D1603" t="s">
        <v>427</v>
      </c>
      <c r="E1603">
        <v>162</v>
      </c>
    </row>
    <row r="1604" spans="1:5" x14ac:dyDescent="0.25">
      <c r="A1604" s="10">
        <v>44425</v>
      </c>
      <c r="B1604">
        <v>304881</v>
      </c>
      <c r="C1604">
        <v>434748</v>
      </c>
      <c r="D1604" t="s">
        <v>428</v>
      </c>
      <c r="E1604">
        <v>121</v>
      </c>
    </row>
    <row r="1605" spans="1:5" x14ac:dyDescent="0.25">
      <c r="A1605" s="10">
        <v>44425</v>
      </c>
      <c r="B1605">
        <v>304881</v>
      </c>
      <c r="C1605">
        <v>424959</v>
      </c>
      <c r="D1605" t="s">
        <v>429</v>
      </c>
      <c r="E1605">
        <v>125</v>
      </c>
    </row>
    <row r="1606" spans="1:5" x14ac:dyDescent="0.25">
      <c r="A1606" s="10">
        <v>44425</v>
      </c>
      <c r="B1606">
        <v>304887</v>
      </c>
      <c r="C1606">
        <v>417342</v>
      </c>
      <c r="D1606" t="s">
        <v>430</v>
      </c>
      <c r="E1606">
        <v>129</v>
      </c>
    </row>
    <row r="1607" spans="1:5" x14ac:dyDescent="0.25">
      <c r="A1607" s="10">
        <v>44425</v>
      </c>
      <c r="B1607">
        <v>304882</v>
      </c>
      <c r="C1607">
        <v>316421</v>
      </c>
      <c r="D1607" t="s">
        <v>431</v>
      </c>
      <c r="E1607">
        <v>133</v>
      </c>
    </row>
    <row r="1608" spans="1:5" x14ac:dyDescent="0.25">
      <c r="A1608" s="10">
        <v>44425</v>
      </c>
      <c r="B1608">
        <v>304881</v>
      </c>
      <c r="C1608">
        <v>404394</v>
      </c>
      <c r="D1608" t="s">
        <v>432</v>
      </c>
      <c r="E1608">
        <v>137</v>
      </c>
    </row>
    <row r="1609" spans="1:5" x14ac:dyDescent="0.25">
      <c r="A1609" s="10">
        <v>44425</v>
      </c>
      <c r="B1609">
        <v>304887</v>
      </c>
      <c r="C1609">
        <v>409256</v>
      </c>
      <c r="D1609" t="s">
        <v>433</v>
      </c>
      <c r="E1609">
        <v>141</v>
      </c>
    </row>
    <row r="1610" spans="1:5" x14ac:dyDescent="0.25">
      <c r="A1610" s="10">
        <v>44425</v>
      </c>
      <c r="B1610">
        <v>304882</v>
      </c>
      <c r="C1610">
        <v>400398</v>
      </c>
      <c r="D1610" t="s">
        <v>434</v>
      </c>
      <c r="E1610">
        <v>145</v>
      </c>
    </row>
    <row r="1611" spans="1:5" x14ac:dyDescent="0.25">
      <c r="A1611" s="10">
        <v>44425</v>
      </c>
      <c r="B1611">
        <v>304887</v>
      </c>
      <c r="C1611">
        <v>404439</v>
      </c>
      <c r="D1611" t="s">
        <v>435</v>
      </c>
      <c r="E1611">
        <v>149</v>
      </c>
    </row>
    <row r="1612" spans="1:5" x14ac:dyDescent="0.25">
      <c r="A1612" s="10">
        <v>44425</v>
      </c>
      <c r="B1612">
        <v>304887</v>
      </c>
      <c r="C1612">
        <v>417490</v>
      </c>
      <c r="D1612" t="s">
        <v>436</v>
      </c>
      <c r="E1612">
        <v>153</v>
      </c>
    </row>
    <row r="1613" spans="1:5" x14ac:dyDescent="0.25">
      <c r="A1613" s="10">
        <v>44425</v>
      </c>
      <c r="B1613">
        <v>304887</v>
      </c>
      <c r="C1613">
        <v>87502</v>
      </c>
      <c r="D1613" t="s">
        <v>437</v>
      </c>
      <c r="E1613">
        <v>157</v>
      </c>
    </row>
    <row r="1614" spans="1:5" x14ac:dyDescent="0.25">
      <c r="A1614" s="10">
        <v>44425</v>
      </c>
      <c r="B1614">
        <v>304885</v>
      </c>
      <c r="C1614">
        <v>461696</v>
      </c>
      <c r="D1614" t="s">
        <v>438</v>
      </c>
      <c r="E1614">
        <v>161</v>
      </c>
    </row>
    <row r="1615" spans="1:5" x14ac:dyDescent="0.25">
      <c r="A1615" s="10">
        <v>44425</v>
      </c>
      <c r="B1615">
        <v>304882</v>
      </c>
      <c r="C1615">
        <v>320300</v>
      </c>
      <c r="D1615" t="s">
        <v>439</v>
      </c>
      <c r="E1615">
        <v>165</v>
      </c>
    </row>
    <row r="1616" spans="1:5" x14ac:dyDescent="0.25">
      <c r="A1616" s="10">
        <v>44425</v>
      </c>
      <c r="B1616">
        <v>304882</v>
      </c>
      <c r="C1616" t="s">
        <v>111</v>
      </c>
      <c r="D1616" t="s">
        <v>440</v>
      </c>
      <c r="E1616">
        <v>169</v>
      </c>
    </row>
    <row r="1617" spans="1:5" x14ac:dyDescent="0.25">
      <c r="A1617" s="10">
        <v>44425</v>
      </c>
      <c r="B1617">
        <v>304914</v>
      </c>
      <c r="C1617">
        <v>425044</v>
      </c>
      <c r="D1617" t="s">
        <v>441</v>
      </c>
      <c r="E1617">
        <v>224</v>
      </c>
    </row>
    <row r="1618" spans="1:5" x14ac:dyDescent="0.25">
      <c r="A1618" s="10">
        <v>44425</v>
      </c>
      <c r="B1618">
        <v>304914</v>
      </c>
      <c r="C1618">
        <v>425045</v>
      </c>
      <c r="D1618" t="s">
        <v>442</v>
      </c>
      <c r="E1618">
        <v>228</v>
      </c>
    </row>
    <row r="1619" spans="1:5" x14ac:dyDescent="0.25">
      <c r="A1619" s="10">
        <v>44425</v>
      </c>
      <c r="B1619">
        <v>304914</v>
      </c>
      <c r="C1619" t="s">
        <v>92</v>
      </c>
      <c r="D1619" t="s">
        <v>443</v>
      </c>
      <c r="E1619">
        <v>232</v>
      </c>
    </row>
    <row r="1620" spans="1:5" x14ac:dyDescent="0.25">
      <c r="A1620" s="10">
        <v>44425</v>
      </c>
      <c r="B1620">
        <v>304914</v>
      </c>
      <c r="C1620">
        <v>421733</v>
      </c>
      <c r="D1620" t="s">
        <v>444</v>
      </c>
      <c r="E1620">
        <v>236</v>
      </c>
    </row>
    <row r="1621" spans="1:5" x14ac:dyDescent="0.25">
      <c r="A1621" s="10">
        <v>44425</v>
      </c>
      <c r="B1621">
        <v>304914</v>
      </c>
      <c r="C1621">
        <v>421730</v>
      </c>
      <c r="D1621" t="s">
        <v>445</v>
      </c>
      <c r="E1621">
        <v>240</v>
      </c>
    </row>
    <row r="1622" spans="1:5" x14ac:dyDescent="0.25">
      <c r="A1622" s="10">
        <v>44425</v>
      </c>
      <c r="B1622">
        <v>304914</v>
      </c>
      <c r="C1622">
        <v>425046</v>
      </c>
      <c r="D1622" t="s">
        <v>446</v>
      </c>
      <c r="E1622">
        <v>244</v>
      </c>
    </row>
    <row r="1623" spans="1:5" x14ac:dyDescent="0.25">
      <c r="A1623" s="10">
        <v>44425</v>
      </c>
      <c r="B1623">
        <v>304914</v>
      </c>
      <c r="C1623">
        <v>439935</v>
      </c>
      <c r="D1623" t="s">
        <v>447</v>
      </c>
      <c r="E1623">
        <v>248</v>
      </c>
    </row>
    <row r="1624" spans="1:5" x14ac:dyDescent="0.25">
      <c r="A1624" s="10">
        <v>44425</v>
      </c>
      <c r="B1624">
        <v>304914</v>
      </c>
      <c r="C1624" t="s">
        <v>93</v>
      </c>
      <c r="D1624" t="s">
        <v>448</v>
      </c>
      <c r="E1624">
        <v>252</v>
      </c>
    </row>
    <row r="1625" spans="1:5" x14ac:dyDescent="0.25">
      <c r="A1625" s="10">
        <v>44425</v>
      </c>
      <c r="B1625">
        <v>304885</v>
      </c>
      <c r="C1625">
        <v>412667</v>
      </c>
      <c r="D1625" t="s">
        <v>449</v>
      </c>
      <c r="E1625">
        <v>256</v>
      </c>
    </row>
    <row r="1626" spans="1:5" x14ac:dyDescent="0.25">
      <c r="A1626" s="10">
        <v>44425</v>
      </c>
      <c r="B1626">
        <v>304914</v>
      </c>
      <c r="C1626" t="s">
        <v>94</v>
      </c>
      <c r="D1626" t="s">
        <v>450</v>
      </c>
      <c r="E1626">
        <v>260</v>
      </c>
    </row>
    <row r="1627" spans="1:5" x14ac:dyDescent="0.25">
      <c r="A1627" s="10">
        <v>44425</v>
      </c>
      <c r="B1627">
        <v>304914</v>
      </c>
      <c r="C1627" t="s">
        <v>124</v>
      </c>
      <c r="D1627" t="s">
        <v>451</v>
      </c>
      <c r="E1627">
        <v>264</v>
      </c>
    </row>
    <row r="1628" spans="1:5" x14ac:dyDescent="0.25">
      <c r="A1628" s="10">
        <v>44425</v>
      </c>
      <c r="B1628">
        <v>304884</v>
      </c>
      <c r="C1628">
        <v>99450</v>
      </c>
      <c r="D1628" t="s">
        <v>452</v>
      </c>
      <c r="E1628">
        <v>221</v>
      </c>
    </row>
    <row r="1629" spans="1:5" x14ac:dyDescent="0.25">
      <c r="A1629" s="10">
        <v>44425</v>
      </c>
      <c r="B1629">
        <v>304884</v>
      </c>
      <c r="C1629">
        <v>403441</v>
      </c>
      <c r="D1629" t="s">
        <v>453</v>
      </c>
      <c r="E1629">
        <v>225</v>
      </c>
    </row>
    <row r="1630" spans="1:5" x14ac:dyDescent="0.25">
      <c r="A1630" s="10">
        <v>44425</v>
      </c>
      <c r="B1630">
        <v>304884</v>
      </c>
      <c r="C1630">
        <v>86159</v>
      </c>
      <c r="D1630" t="s">
        <v>454</v>
      </c>
      <c r="E1630">
        <v>229</v>
      </c>
    </row>
    <row r="1631" spans="1:5" x14ac:dyDescent="0.25">
      <c r="A1631" s="10">
        <v>44425</v>
      </c>
      <c r="B1631">
        <v>304988</v>
      </c>
      <c r="C1631" t="s">
        <v>159</v>
      </c>
      <c r="D1631" t="s">
        <v>455</v>
      </c>
      <c r="E1631">
        <v>233</v>
      </c>
    </row>
    <row r="1632" spans="1:5" x14ac:dyDescent="0.25">
      <c r="A1632" s="10">
        <v>44425</v>
      </c>
      <c r="B1632">
        <v>304988</v>
      </c>
      <c r="C1632">
        <v>85227</v>
      </c>
      <c r="D1632" t="s">
        <v>456</v>
      </c>
      <c r="E1632">
        <v>237</v>
      </c>
    </row>
    <row r="1633" spans="1:5" x14ac:dyDescent="0.25">
      <c r="A1633" s="10">
        <v>44425</v>
      </c>
      <c r="B1633">
        <v>304884</v>
      </c>
      <c r="C1633">
        <v>423185</v>
      </c>
      <c r="D1633" t="s">
        <v>457</v>
      </c>
      <c r="E1633">
        <v>241</v>
      </c>
    </row>
    <row r="1634" spans="1:5" x14ac:dyDescent="0.25">
      <c r="A1634" s="10">
        <v>44425</v>
      </c>
      <c r="B1634">
        <v>304882</v>
      </c>
      <c r="C1634">
        <v>316420</v>
      </c>
      <c r="D1634" t="s">
        <v>458</v>
      </c>
      <c r="E1634">
        <v>245</v>
      </c>
    </row>
    <row r="1635" spans="1:5" x14ac:dyDescent="0.25">
      <c r="A1635" s="10">
        <v>44425</v>
      </c>
      <c r="B1635">
        <v>304884</v>
      </c>
      <c r="C1635">
        <v>314246</v>
      </c>
      <c r="D1635" t="s">
        <v>459</v>
      </c>
      <c r="E1635">
        <v>249</v>
      </c>
    </row>
    <row r="1636" spans="1:5" x14ac:dyDescent="0.25">
      <c r="A1636" s="10">
        <v>44425</v>
      </c>
      <c r="B1636">
        <v>304884</v>
      </c>
      <c r="C1636">
        <v>425293</v>
      </c>
      <c r="D1636" t="s">
        <v>460</v>
      </c>
      <c r="E1636">
        <v>253</v>
      </c>
    </row>
    <row r="1637" spans="1:5" x14ac:dyDescent="0.25">
      <c r="A1637" s="10">
        <v>44425</v>
      </c>
      <c r="B1637">
        <v>304884</v>
      </c>
      <c r="C1637">
        <v>412800</v>
      </c>
      <c r="D1637" t="s">
        <v>461</v>
      </c>
      <c r="E1637">
        <v>257</v>
      </c>
    </row>
    <row r="1638" spans="1:5" x14ac:dyDescent="0.25">
      <c r="A1638" s="10">
        <v>44425</v>
      </c>
      <c r="B1638">
        <v>304884</v>
      </c>
      <c r="C1638">
        <v>328267</v>
      </c>
      <c r="D1638" t="s">
        <v>462</v>
      </c>
      <c r="E1638">
        <v>261</v>
      </c>
    </row>
    <row r="1639" spans="1:5" x14ac:dyDescent="0.25">
      <c r="A1639" s="10">
        <v>44425</v>
      </c>
      <c r="B1639">
        <v>304882</v>
      </c>
      <c r="C1639">
        <v>317398</v>
      </c>
      <c r="D1639" t="s">
        <v>463</v>
      </c>
      <c r="E1639">
        <v>265</v>
      </c>
    </row>
    <row r="1640" spans="1:5" x14ac:dyDescent="0.25">
      <c r="A1640" s="10">
        <v>44425</v>
      </c>
      <c r="B1640">
        <v>304883</v>
      </c>
      <c r="C1640">
        <v>324324</v>
      </c>
      <c r="D1640" t="s">
        <v>464</v>
      </c>
      <c r="E1640">
        <v>324</v>
      </c>
    </row>
    <row r="1641" spans="1:5" x14ac:dyDescent="0.25">
      <c r="A1641" s="10">
        <v>44425</v>
      </c>
      <c r="B1641">
        <v>304885</v>
      </c>
      <c r="C1641">
        <v>402666</v>
      </c>
      <c r="D1641" t="s">
        <v>465</v>
      </c>
      <c r="E1641">
        <v>328</v>
      </c>
    </row>
    <row r="1642" spans="1:5" x14ac:dyDescent="0.25">
      <c r="A1642" s="10">
        <v>44425</v>
      </c>
      <c r="B1642">
        <v>304883</v>
      </c>
      <c r="C1642">
        <v>332332</v>
      </c>
      <c r="D1642" t="s">
        <v>466</v>
      </c>
      <c r="E1642">
        <v>332</v>
      </c>
    </row>
    <row r="1643" spans="1:5" x14ac:dyDescent="0.25">
      <c r="A1643" s="10">
        <v>44425</v>
      </c>
      <c r="B1643">
        <v>304885</v>
      </c>
      <c r="C1643">
        <v>87750</v>
      </c>
      <c r="D1643" t="s">
        <v>467</v>
      </c>
      <c r="E1643">
        <v>336</v>
      </c>
    </row>
    <row r="1644" spans="1:5" x14ac:dyDescent="0.25">
      <c r="A1644" s="10">
        <v>44425</v>
      </c>
      <c r="B1644">
        <v>304886</v>
      </c>
      <c r="C1644">
        <v>405337</v>
      </c>
      <c r="D1644" t="s">
        <v>468</v>
      </c>
      <c r="E1644">
        <v>340</v>
      </c>
    </row>
    <row r="1645" spans="1:5" x14ac:dyDescent="0.25">
      <c r="A1645" s="10">
        <v>44425</v>
      </c>
      <c r="B1645">
        <v>304881</v>
      </c>
      <c r="C1645">
        <v>461887</v>
      </c>
      <c r="D1645" t="s">
        <v>469</v>
      </c>
      <c r="E1645">
        <v>344</v>
      </c>
    </row>
    <row r="1646" spans="1:5" x14ac:dyDescent="0.25">
      <c r="A1646" s="10">
        <v>44425</v>
      </c>
      <c r="B1646">
        <v>304881</v>
      </c>
      <c r="C1646" t="s">
        <v>343</v>
      </c>
      <c r="D1646" t="s">
        <v>470</v>
      </c>
      <c r="E1646">
        <v>348</v>
      </c>
    </row>
    <row r="1647" spans="1:5" x14ac:dyDescent="0.25">
      <c r="A1647" s="10">
        <v>44425</v>
      </c>
      <c r="B1647">
        <v>304881</v>
      </c>
      <c r="C1647">
        <v>461885</v>
      </c>
      <c r="D1647" t="s">
        <v>471</v>
      </c>
      <c r="E1647">
        <v>352</v>
      </c>
    </row>
    <row r="1648" spans="1:5" x14ac:dyDescent="0.25">
      <c r="A1648" s="10">
        <v>44425</v>
      </c>
      <c r="B1648">
        <v>304881</v>
      </c>
      <c r="C1648">
        <v>434749</v>
      </c>
      <c r="D1648" t="s">
        <v>472</v>
      </c>
      <c r="E1648">
        <v>356</v>
      </c>
    </row>
    <row r="1649" spans="1:5" x14ac:dyDescent="0.25">
      <c r="A1649" s="10">
        <v>44425</v>
      </c>
      <c r="B1649">
        <v>304881</v>
      </c>
      <c r="C1649" t="s">
        <v>97</v>
      </c>
      <c r="D1649" t="s">
        <v>473</v>
      </c>
      <c r="E1649">
        <v>368</v>
      </c>
    </row>
    <row r="1650" spans="1:5" x14ac:dyDescent="0.25">
      <c r="A1650" s="10">
        <v>44425</v>
      </c>
      <c r="B1650">
        <v>304882</v>
      </c>
      <c r="C1650" t="s">
        <v>98</v>
      </c>
      <c r="D1650" t="s">
        <v>474</v>
      </c>
      <c r="E1650">
        <v>376</v>
      </c>
    </row>
    <row r="1651" spans="1:5" x14ac:dyDescent="0.25">
      <c r="A1651" s="10">
        <v>44425</v>
      </c>
      <c r="B1651">
        <v>304883</v>
      </c>
      <c r="C1651">
        <v>432597</v>
      </c>
      <c r="D1651" t="s">
        <v>475</v>
      </c>
      <c r="E1651">
        <v>321</v>
      </c>
    </row>
    <row r="1652" spans="1:5" x14ac:dyDescent="0.25">
      <c r="A1652" s="10">
        <v>44425</v>
      </c>
      <c r="B1652">
        <v>304883</v>
      </c>
      <c r="C1652" t="s">
        <v>99</v>
      </c>
      <c r="D1652" t="s">
        <v>476</v>
      </c>
      <c r="E1652">
        <v>325</v>
      </c>
    </row>
    <row r="1653" spans="1:5" x14ac:dyDescent="0.25">
      <c r="A1653" s="10">
        <v>44425</v>
      </c>
      <c r="B1653">
        <v>304883</v>
      </c>
      <c r="C1653">
        <v>99443</v>
      </c>
      <c r="D1653" t="s">
        <v>477</v>
      </c>
      <c r="E1653">
        <v>333</v>
      </c>
    </row>
    <row r="1654" spans="1:5" x14ac:dyDescent="0.25">
      <c r="A1654" s="10">
        <v>44425</v>
      </c>
      <c r="B1654">
        <v>304883</v>
      </c>
      <c r="C1654">
        <v>310821</v>
      </c>
      <c r="D1654" t="s">
        <v>478</v>
      </c>
      <c r="E1654">
        <v>337</v>
      </c>
    </row>
    <row r="1655" spans="1:5" x14ac:dyDescent="0.25">
      <c r="A1655" s="10">
        <v>44425</v>
      </c>
      <c r="B1655">
        <v>304883</v>
      </c>
      <c r="C1655">
        <v>432598</v>
      </c>
      <c r="D1655" t="s">
        <v>479</v>
      </c>
      <c r="E1655">
        <v>341</v>
      </c>
    </row>
    <row r="1656" spans="1:5" x14ac:dyDescent="0.25">
      <c r="A1656" s="10">
        <v>44425</v>
      </c>
      <c r="B1656">
        <v>304885</v>
      </c>
      <c r="C1656">
        <v>87377</v>
      </c>
      <c r="D1656" t="s">
        <v>480</v>
      </c>
      <c r="E1656">
        <v>349</v>
      </c>
    </row>
    <row r="1657" spans="1:5" x14ac:dyDescent="0.25">
      <c r="A1657" s="10">
        <v>44425</v>
      </c>
      <c r="B1657">
        <v>304885</v>
      </c>
      <c r="C1657">
        <v>87376</v>
      </c>
      <c r="D1657" t="s">
        <v>481</v>
      </c>
      <c r="E1657">
        <v>353</v>
      </c>
    </row>
    <row r="1658" spans="1:5" x14ac:dyDescent="0.25">
      <c r="A1658" s="10">
        <v>44425</v>
      </c>
      <c r="B1658">
        <v>304885</v>
      </c>
      <c r="C1658">
        <v>320665</v>
      </c>
      <c r="D1658" t="s">
        <v>482</v>
      </c>
      <c r="E1658">
        <v>357</v>
      </c>
    </row>
    <row r="1659" spans="1:5" x14ac:dyDescent="0.25">
      <c r="A1659" s="10">
        <v>44425</v>
      </c>
      <c r="B1659">
        <v>304881</v>
      </c>
      <c r="C1659">
        <v>461886</v>
      </c>
      <c r="D1659" t="s">
        <v>483</v>
      </c>
      <c r="E1659">
        <v>361</v>
      </c>
    </row>
    <row r="1660" spans="1:5" x14ac:dyDescent="0.25">
      <c r="A1660" s="10">
        <v>44425</v>
      </c>
      <c r="B1660">
        <v>304881</v>
      </c>
      <c r="C1660">
        <v>320763</v>
      </c>
      <c r="D1660" t="s">
        <v>484</v>
      </c>
      <c r="E1660">
        <v>365</v>
      </c>
    </row>
    <row r="1661" spans="1:5" x14ac:dyDescent="0.25">
      <c r="A1661" s="10">
        <v>44425</v>
      </c>
      <c r="B1661">
        <v>304881</v>
      </c>
      <c r="C1661" t="s">
        <v>113</v>
      </c>
      <c r="D1661" t="s">
        <v>485</v>
      </c>
      <c r="E1661">
        <v>369</v>
      </c>
    </row>
    <row r="1662" spans="1:5" x14ac:dyDescent="0.25">
      <c r="A1662" s="10">
        <v>44425</v>
      </c>
      <c r="B1662">
        <v>304887</v>
      </c>
      <c r="C1662">
        <v>203589</v>
      </c>
      <c r="D1662" t="s">
        <v>486</v>
      </c>
      <c r="E1662">
        <v>420</v>
      </c>
    </row>
    <row r="1663" spans="1:5" x14ac:dyDescent="0.25">
      <c r="A1663" s="10">
        <v>44425</v>
      </c>
      <c r="B1663">
        <v>304883</v>
      </c>
      <c r="C1663" t="s">
        <v>344</v>
      </c>
      <c r="D1663" t="s">
        <v>487</v>
      </c>
      <c r="E1663">
        <v>436</v>
      </c>
    </row>
    <row r="1664" spans="1:5" x14ac:dyDescent="0.25">
      <c r="A1664" s="10">
        <v>44425</v>
      </c>
      <c r="B1664">
        <v>304887</v>
      </c>
      <c r="C1664" t="s">
        <v>333</v>
      </c>
      <c r="D1664" t="s">
        <v>488</v>
      </c>
      <c r="E1664">
        <v>468</v>
      </c>
    </row>
    <row r="1665" spans="1:5" x14ac:dyDescent="0.25">
      <c r="A1665" s="10">
        <v>44425</v>
      </c>
      <c r="B1665">
        <v>304884</v>
      </c>
      <c r="C1665">
        <v>305177</v>
      </c>
      <c r="D1665" t="s">
        <v>489</v>
      </c>
      <c r="E1665">
        <v>419</v>
      </c>
    </row>
    <row r="1666" spans="1:5" x14ac:dyDescent="0.25">
      <c r="A1666" s="10">
        <v>44425</v>
      </c>
      <c r="B1666">
        <v>304886</v>
      </c>
      <c r="C1666">
        <v>14958</v>
      </c>
      <c r="D1666" t="s">
        <v>490</v>
      </c>
      <c r="E1666">
        <v>421</v>
      </c>
    </row>
    <row r="1667" spans="1:5" x14ac:dyDescent="0.25">
      <c r="A1667" s="10">
        <v>44425</v>
      </c>
      <c r="B1667">
        <v>304881</v>
      </c>
      <c r="C1667" t="s">
        <v>115</v>
      </c>
      <c r="D1667" t="s">
        <v>491</v>
      </c>
      <c r="E1667">
        <v>423</v>
      </c>
    </row>
    <row r="1668" spans="1:5" x14ac:dyDescent="0.25">
      <c r="A1668" s="10">
        <v>44425</v>
      </c>
      <c r="B1668">
        <v>304884</v>
      </c>
      <c r="C1668" t="s">
        <v>143</v>
      </c>
      <c r="D1668" t="s">
        <v>492</v>
      </c>
      <c r="E1668">
        <v>522</v>
      </c>
    </row>
    <row r="1669" spans="1:5" x14ac:dyDescent="0.25">
      <c r="A1669" s="10">
        <v>44425</v>
      </c>
      <c r="B1669">
        <v>304884</v>
      </c>
      <c r="C1669">
        <v>524524</v>
      </c>
      <c r="D1669" t="s">
        <v>493</v>
      </c>
      <c r="E1669">
        <v>524</v>
      </c>
    </row>
    <row r="1670" spans="1:5" x14ac:dyDescent="0.25">
      <c r="A1670" s="10">
        <v>44425</v>
      </c>
      <c r="B1670">
        <v>304884</v>
      </c>
      <c r="C1670" t="s">
        <v>123</v>
      </c>
      <c r="D1670" t="s">
        <v>494</v>
      </c>
      <c r="E1670">
        <v>526</v>
      </c>
    </row>
    <row r="1671" spans="1:5" x14ac:dyDescent="0.25">
      <c r="A1671" s="10">
        <v>44425</v>
      </c>
      <c r="B1671">
        <v>304887</v>
      </c>
      <c r="C1671" t="s">
        <v>103</v>
      </c>
      <c r="D1671" t="s">
        <v>495</v>
      </c>
      <c r="E1671">
        <v>530</v>
      </c>
    </row>
    <row r="1672" spans="1:5" x14ac:dyDescent="0.25">
      <c r="A1672" s="10">
        <v>44425</v>
      </c>
      <c r="B1672">
        <v>304881</v>
      </c>
      <c r="C1672" t="s">
        <v>104</v>
      </c>
      <c r="D1672" t="s">
        <v>496</v>
      </c>
      <c r="E1672">
        <v>532</v>
      </c>
    </row>
    <row r="1673" spans="1:5" x14ac:dyDescent="0.25">
      <c r="A1673" s="10">
        <v>44425</v>
      </c>
      <c r="B1673">
        <v>304881</v>
      </c>
      <c r="C1673" t="s">
        <v>105</v>
      </c>
      <c r="D1673" t="s">
        <v>497</v>
      </c>
      <c r="E1673">
        <v>538</v>
      </c>
    </row>
    <row r="1674" spans="1:5" x14ac:dyDescent="0.25">
      <c r="A1674" s="10">
        <v>44425</v>
      </c>
      <c r="B1674">
        <v>304886</v>
      </c>
      <c r="C1674" t="s">
        <v>106</v>
      </c>
      <c r="D1674" t="s">
        <v>498</v>
      </c>
      <c r="E1674">
        <v>616</v>
      </c>
    </row>
    <row r="1675" spans="1:5" x14ac:dyDescent="0.25">
      <c r="A1675" s="10">
        <v>44425</v>
      </c>
      <c r="B1675">
        <v>304886</v>
      </c>
      <c r="C1675" t="s">
        <v>109</v>
      </c>
      <c r="D1675" t="s">
        <v>499</v>
      </c>
      <c r="E1675">
        <v>654</v>
      </c>
    </row>
    <row r="1676" spans="1:5" x14ac:dyDescent="0.25">
      <c r="A1676" s="10">
        <v>44425</v>
      </c>
      <c r="B1676">
        <v>304886</v>
      </c>
      <c r="C1676" t="s">
        <v>121</v>
      </c>
      <c r="D1676" t="s">
        <v>500</v>
      </c>
      <c r="E1676">
        <v>656</v>
      </c>
    </row>
    <row r="1677" spans="1:5" x14ac:dyDescent="0.25">
      <c r="A1677" s="10">
        <v>44425</v>
      </c>
      <c r="B1677">
        <v>304886</v>
      </c>
      <c r="C1677" t="s">
        <v>117</v>
      </c>
      <c r="D1677" t="s">
        <v>501</v>
      </c>
      <c r="E1677">
        <v>660</v>
      </c>
    </row>
    <row r="1678" spans="1:5" x14ac:dyDescent="0.25">
      <c r="A1678" s="10">
        <v>44425</v>
      </c>
      <c r="B1678">
        <v>304886</v>
      </c>
      <c r="C1678">
        <v>87511</v>
      </c>
      <c r="D1678" t="s">
        <v>502</v>
      </c>
      <c r="E1678">
        <v>615</v>
      </c>
    </row>
    <row r="1679" spans="1:5" x14ac:dyDescent="0.25">
      <c r="A1679" s="10">
        <v>44425</v>
      </c>
      <c r="B1679">
        <v>304914</v>
      </c>
      <c r="C1679">
        <v>421736</v>
      </c>
      <c r="D1679" t="s">
        <v>503</v>
      </c>
      <c r="E1679">
        <v>617</v>
      </c>
    </row>
    <row r="1680" spans="1:5" x14ac:dyDescent="0.25">
      <c r="A1680" s="10">
        <v>44425</v>
      </c>
      <c r="B1680">
        <v>304881</v>
      </c>
      <c r="C1680">
        <v>303810</v>
      </c>
      <c r="D1680" t="s">
        <v>504</v>
      </c>
      <c r="E1680">
        <v>655</v>
      </c>
    </row>
    <row r="1681" spans="1:5" x14ac:dyDescent="0.25">
      <c r="A1681" s="10">
        <v>44426</v>
      </c>
      <c r="B1681">
        <v>304988</v>
      </c>
      <c r="C1681">
        <v>432600</v>
      </c>
      <c r="D1681" t="s">
        <v>505</v>
      </c>
      <c r="E1681">
        <v>124</v>
      </c>
    </row>
    <row r="1682" spans="1:5" x14ac:dyDescent="0.25">
      <c r="A1682" s="10">
        <v>44426</v>
      </c>
      <c r="B1682">
        <v>304988</v>
      </c>
      <c r="C1682">
        <v>432595</v>
      </c>
      <c r="D1682" t="s">
        <v>506</v>
      </c>
      <c r="E1682">
        <v>128</v>
      </c>
    </row>
    <row r="1683" spans="1:5" x14ac:dyDescent="0.25">
      <c r="A1683" s="10">
        <v>44426</v>
      </c>
      <c r="B1683">
        <v>304886</v>
      </c>
      <c r="C1683" t="s">
        <v>141</v>
      </c>
      <c r="D1683" t="s">
        <v>507</v>
      </c>
      <c r="E1683">
        <v>132</v>
      </c>
    </row>
    <row r="1684" spans="1:5" x14ac:dyDescent="0.25">
      <c r="A1684" s="10">
        <v>44426</v>
      </c>
      <c r="B1684">
        <v>304988</v>
      </c>
      <c r="C1684">
        <v>84334</v>
      </c>
      <c r="D1684" t="s">
        <v>508</v>
      </c>
      <c r="E1684">
        <v>136</v>
      </c>
    </row>
    <row r="1685" spans="1:5" x14ac:dyDescent="0.25">
      <c r="A1685" s="10">
        <v>44426</v>
      </c>
      <c r="B1685">
        <v>304988</v>
      </c>
      <c r="C1685">
        <v>463875</v>
      </c>
      <c r="D1685" t="s">
        <v>509</v>
      </c>
      <c r="E1685">
        <v>140</v>
      </c>
    </row>
    <row r="1686" spans="1:5" x14ac:dyDescent="0.25">
      <c r="A1686" s="10">
        <v>44426</v>
      </c>
      <c r="B1686">
        <v>304887</v>
      </c>
      <c r="C1686">
        <v>326234</v>
      </c>
      <c r="D1686" t="s">
        <v>510</v>
      </c>
      <c r="E1686">
        <v>144</v>
      </c>
    </row>
    <row r="1687" spans="1:5" x14ac:dyDescent="0.25">
      <c r="A1687" s="10">
        <v>44426</v>
      </c>
      <c r="B1687">
        <v>304882</v>
      </c>
      <c r="C1687">
        <v>317397</v>
      </c>
      <c r="D1687" t="s">
        <v>511</v>
      </c>
      <c r="E1687">
        <v>148</v>
      </c>
    </row>
    <row r="1688" spans="1:5" x14ac:dyDescent="0.25">
      <c r="A1688" s="10">
        <v>44426</v>
      </c>
      <c r="B1688">
        <v>304887</v>
      </c>
      <c r="C1688">
        <v>411264</v>
      </c>
      <c r="D1688" t="s">
        <v>512</v>
      </c>
      <c r="E1688">
        <v>152</v>
      </c>
    </row>
    <row r="1689" spans="1:5" x14ac:dyDescent="0.25">
      <c r="A1689" s="10">
        <v>44426</v>
      </c>
      <c r="B1689">
        <v>304887</v>
      </c>
      <c r="C1689">
        <v>420522</v>
      </c>
      <c r="D1689" t="s">
        <v>513</v>
      </c>
      <c r="E1689">
        <v>156</v>
      </c>
    </row>
    <row r="1690" spans="1:5" x14ac:dyDescent="0.25">
      <c r="A1690" s="10">
        <v>44426</v>
      </c>
      <c r="B1690">
        <v>304887</v>
      </c>
      <c r="C1690">
        <v>431154</v>
      </c>
      <c r="D1690" t="s">
        <v>514</v>
      </c>
      <c r="E1690">
        <v>160</v>
      </c>
    </row>
    <row r="1691" spans="1:5" x14ac:dyDescent="0.25">
      <c r="A1691" s="10">
        <v>44426</v>
      </c>
      <c r="B1691">
        <v>304887</v>
      </c>
      <c r="C1691" t="s">
        <v>128</v>
      </c>
      <c r="D1691" t="s">
        <v>515</v>
      </c>
      <c r="E1691">
        <v>162</v>
      </c>
    </row>
    <row r="1692" spans="1:5" x14ac:dyDescent="0.25">
      <c r="A1692" s="10">
        <v>44426</v>
      </c>
      <c r="B1692">
        <v>304887</v>
      </c>
      <c r="C1692" t="s">
        <v>110</v>
      </c>
      <c r="D1692" t="s">
        <v>516</v>
      </c>
      <c r="E1692">
        <v>164</v>
      </c>
    </row>
    <row r="1693" spans="1:5" x14ac:dyDescent="0.25">
      <c r="A1693" s="10">
        <v>44426</v>
      </c>
      <c r="B1693">
        <v>304881</v>
      </c>
      <c r="C1693">
        <v>434748</v>
      </c>
      <c r="D1693" t="s">
        <v>517</v>
      </c>
      <c r="E1693">
        <v>121</v>
      </c>
    </row>
    <row r="1694" spans="1:5" x14ac:dyDescent="0.25">
      <c r="A1694" s="10">
        <v>44426</v>
      </c>
      <c r="B1694">
        <v>304881</v>
      </c>
      <c r="C1694">
        <v>424959</v>
      </c>
      <c r="D1694" t="s">
        <v>518</v>
      </c>
      <c r="E1694">
        <v>125</v>
      </c>
    </row>
    <row r="1695" spans="1:5" x14ac:dyDescent="0.25">
      <c r="A1695" s="10">
        <v>44426</v>
      </c>
      <c r="B1695">
        <v>304887</v>
      </c>
      <c r="C1695">
        <v>417342</v>
      </c>
      <c r="D1695" t="s">
        <v>519</v>
      </c>
      <c r="E1695">
        <v>129</v>
      </c>
    </row>
    <row r="1696" spans="1:5" x14ac:dyDescent="0.25">
      <c r="A1696" s="10">
        <v>44426</v>
      </c>
      <c r="B1696">
        <v>304882</v>
      </c>
      <c r="C1696">
        <v>316421</v>
      </c>
      <c r="D1696" t="s">
        <v>520</v>
      </c>
      <c r="E1696">
        <v>133</v>
      </c>
    </row>
    <row r="1697" spans="1:5" x14ac:dyDescent="0.25">
      <c r="A1697" s="10">
        <v>44426</v>
      </c>
      <c r="B1697">
        <v>304881</v>
      </c>
      <c r="C1697">
        <v>404394</v>
      </c>
      <c r="D1697" t="s">
        <v>521</v>
      </c>
      <c r="E1697">
        <v>137</v>
      </c>
    </row>
    <row r="1698" spans="1:5" x14ac:dyDescent="0.25">
      <c r="A1698" s="10">
        <v>44426</v>
      </c>
      <c r="B1698">
        <v>304887</v>
      </c>
      <c r="C1698">
        <v>409256</v>
      </c>
      <c r="D1698" t="s">
        <v>522</v>
      </c>
      <c r="E1698">
        <v>141</v>
      </c>
    </row>
    <row r="1699" spans="1:5" x14ac:dyDescent="0.25">
      <c r="A1699" s="10">
        <v>44426</v>
      </c>
      <c r="B1699">
        <v>304882</v>
      </c>
      <c r="C1699">
        <v>400398</v>
      </c>
      <c r="D1699" t="s">
        <v>523</v>
      </c>
      <c r="E1699">
        <v>145</v>
      </c>
    </row>
    <row r="1700" spans="1:5" x14ac:dyDescent="0.25">
      <c r="A1700" s="10">
        <v>44426</v>
      </c>
      <c r="B1700">
        <v>304887</v>
      </c>
      <c r="C1700">
        <v>404439</v>
      </c>
      <c r="D1700" t="s">
        <v>524</v>
      </c>
      <c r="E1700">
        <v>149</v>
      </c>
    </row>
    <row r="1701" spans="1:5" x14ac:dyDescent="0.25">
      <c r="A1701" s="10">
        <v>44426</v>
      </c>
      <c r="B1701">
        <v>304887</v>
      </c>
      <c r="C1701">
        <v>417490</v>
      </c>
      <c r="D1701" t="s">
        <v>525</v>
      </c>
      <c r="E1701">
        <v>153</v>
      </c>
    </row>
    <row r="1702" spans="1:5" x14ac:dyDescent="0.25">
      <c r="A1702" s="10">
        <v>44426</v>
      </c>
      <c r="B1702">
        <v>304885</v>
      </c>
      <c r="C1702">
        <v>87502</v>
      </c>
      <c r="D1702" t="s">
        <v>526</v>
      </c>
      <c r="E1702">
        <v>157</v>
      </c>
    </row>
    <row r="1703" spans="1:5" x14ac:dyDescent="0.25">
      <c r="A1703" s="10">
        <v>44426</v>
      </c>
      <c r="B1703">
        <v>304887</v>
      </c>
      <c r="C1703">
        <v>461696</v>
      </c>
      <c r="D1703" t="s">
        <v>527</v>
      </c>
      <c r="E1703">
        <v>161</v>
      </c>
    </row>
    <row r="1704" spans="1:5" x14ac:dyDescent="0.25">
      <c r="A1704" s="10">
        <v>44426</v>
      </c>
      <c r="B1704">
        <v>304882</v>
      </c>
      <c r="C1704">
        <v>320300</v>
      </c>
      <c r="D1704" t="s">
        <v>528</v>
      </c>
      <c r="E1704">
        <v>165</v>
      </c>
    </row>
    <row r="1705" spans="1:5" x14ac:dyDescent="0.25">
      <c r="A1705" s="10">
        <v>44426</v>
      </c>
      <c r="B1705">
        <v>304882</v>
      </c>
      <c r="C1705" t="s">
        <v>111</v>
      </c>
      <c r="D1705" t="s">
        <v>529</v>
      </c>
      <c r="E1705">
        <v>169</v>
      </c>
    </row>
    <row r="1706" spans="1:5" x14ac:dyDescent="0.25">
      <c r="A1706" s="10">
        <v>44426</v>
      </c>
      <c r="B1706">
        <v>304914</v>
      </c>
      <c r="C1706">
        <v>425044</v>
      </c>
      <c r="D1706" t="s">
        <v>530</v>
      </c>
      <c r="E1706">
        <v>224</v>
      </c>
    </row>
    <row r="1707" spans="1:5" x14ac:dyDescent="0.25">
      <c r="A1707" s="10">
        <v>44426</v>
      </c>
      <c r="B1707">
        <v>304914</v>
      </c>
      <c r="C1707">
        <v>425045</v>
      </c>
      <c r="D1707" t="s">
        <v>531</v>
      </c>
      <c r="E1707">
        <v>228</v>
      </c>
    </row>
    <row r="1708" spans="1:5" x14ac:dyDescent="0.25">
      <c r="A1708" s="10">
        <v>44426</v>
      </c>
      <c r="B1708">
        <v>304914</v>
      </c>
      <c r="C1708" t="s">
        <v>92</v>
      </c>
      <c r="D1708" t="s">
        <v>532</v>
      </c>
      <c r="E1708">
        <v>232</v>
      </c>
    </row>
    <row r="1709" spans="1:5" x14ac:dyDescent="0.25">
      <c r="A1709" s="10">
        <v>44426</v>
      </c>
      <c r="B1709">
        <v>304914</v>
      </c>
      <c r="C1709">
        <v>421733</v>
      </c>
      <c r="D1709" t="s">
        <v>533</v>
      </c>
      <c r="E1709">
        <v>236</v>
      </c>
    </row>
    <row r="1710" spans="1:5" x14ac:dyDescent="0.25">
      <c r="A1710" s="10">
        <v>44426</v>
      </c>
      <c r="B1710">
        <v>304914</v>
      </c>
      <c r="C1710">
        <v>421730</v>
      </c>
      <c r="D1710" t="s">
        <v>534</v>
      </c>
      <c r="E1710">
        <v>240</v>
      </c>
    </row>
    <row r="1711" spans="1:5" x14ac:dyDescent="0.25">
      <c r="A1711" s="10">
        <v>44426</v>
      </c>
      <c r="B1711">
        <v>304914</v>
      </c>
      <c r="C1711">
        <v>425046</v>
      </c>
      <c r="D1711" t="s">
        <v>535</v>
      </c>
      <c r="E1711">
        <v>244</v>
      </c>
    </row>
    <row r="1712" spans="1:5" x14ac:dyDescent="0.25">
      <c r="A1712" s="10">
        <v>44426</v>
      </c>
      <c r="B1712">
        <v>304914</v>
      </c>
      <c r="C1712">
        <v>439935</v>
      </c>
      <c r="D1712" t="s">
        <v>536</v>
      </c>
      <c r="E1712">
        <v>248</v>
      </c>
    </row>
    <row r="1713" spans="1:5" x14ac:dyDescent="0.25">
      <c r="A1713" s="10">
        <v>44426</v>
      </c>
      <c r="B1713">
        <v>304914</v>
      </c>
      <c r="C1713" t="s">
        <v>93</v>
      </c>
      <c r="D1713" t="s">
        <v>537</v>
      </c>
      <c r="E1713">
        <v>252</v>
      </c>
    </row>
    <row r="1714" spans="1:5" x14ac:dyDescent="0.25">
      <c r="A1714" s="10">
        <v>44426</v>
      </c>
      <c r="B1714">
        <v>304885</v>
      </c>
      <c r="C1714">
        <v>412667</v>
      </c>
      <c r="D1714" t="s">
        <v>538</v>
      </c>
      <c r="E1714">
        <v>256</v>
      </c>
    </row>
    <row r="1715" spans="1:5" x14ac:dyDescent="0.25">
      <c r="A1715" s="10">
        <v>44426</v>
      </c>
      <c r="B1715">
        <v>304914</v>
      </c>
      <c r="C1715" t="s">
        <v>94</v>
      </c>
      <c r="D1715" t="s">
        <v>539</v>
      </c>
      <c r="E1715">
        <v>260</v>
      </c>
    </row>
    <row r="1716" spans="1:5" x14ac:dyDescent="0.25">
      <c r="A1716" s="10">
        <v>44426</v>
      </c>
      <c r="B1716">
        <v>304914</v>
      </c>
      <c r="C1716">
        <v>262262</v>
      </c>
      <c r="D1716" t="s">
        <v>540</v>
      </c>
      <c r="E1716">
        <v>262</v>
      </c>
    </row>
    <row r="1717" spans="1:5" x14ac:dyDescent="0.25">
      <c r="A1717" s="10">
        <v>44426</v>
      </c>
      <c r="B1717">
        <v>304914</v>
      </c>
      <c r="C1717" t="s">
        <v>124</v>
      </c>
      <c r="D1717" t="s">
        <v>541</v>
      </c>
      <c r="E1717">
        <v>264</v>
      </c>
    </row>
    <row r="1718" spans="1:5" x14ac:dyDescent="0.25">
      <c r="A1718" s="10">
        <v>44426</v>
      </c>
      <c r="B1718">
        <v>304914</v>
      </c>
      <c r="C1718">
        <v>307838</v>
      </c>
      <c r="D1718" t="s">
        <v>542</v>
      </c>
      <c r="E1718">
        <v>266</v>
      </c>
    </row>
    <row r="1719" spans="1:5" x14ac:dyDescent="0.25">
      <c r="A1719" s="10">
        <v>44426</v>
      </c>
      <c r="B1719">
        <v>304884</v>
      </c>
      <c r="C1719">
        <v>99450</v>
      </c>
      <c r="D1719" t="s">
        <v>543</v>
      </c>
      <c r="E1719">
        <v>221</v>
      </c>
    </row>
    <row r="1720" spans="1:5" x14ac:dyDescent="0.25">
      <c r="A1720" s="10">
        <v>44426</v>
      </c>
      <c r="B1720">
        <v>304884</v>
      </c>
      <c r="C1720">
        <v>403441</v>
      </c>
      <c r="D1720" t="s">
        <v>544</v>
      </c>
      <c r="E1720">
        <v>225</v>
      </c>
    </row>
    <row r="1721" spans="1:5" x14ac:dyDescent="0.25">
      <c r="A1721" s="10">
        <v>44426</v>
      </c>
      <c r="B1721">
        <v>304884</v>
      </c>
      <c r="C1721">
        <v>86159</v>
      </c>
      <c r="D1721" t="s">
        <v>545</v>
      </c>
      <c r="E1721">
        <v>229</v>
      </c>
    </row>
    <row r="1722" spans="1:5" x14ac:dyDescent="0.25">
      <c r="A1722" s="10">
        <v>44426</v>
      </c>
      <c r="B1722">
        <v>304988</v>
      </c>
      <c r="C1722">
        <v>303354</v>
      </c>
      <c r="D1722" t="s">
        <v>546</v>
      </c>
      <c r="E1722">
        <v>233</v>
      </c>
    </row>
    <row r="1723" spans="1:5" x14ac:dyDescent="0.25">
      <c r="A1723" s="10">
        <v>44426</v>
      </c>
      <c r="B1723">
        <v>304988</v>
      </c>
      <c r="C1723">
        <v>85227</v>
      </c>
      <c r="D1723" t="s">
        <v>547</v>
      </c>
      <c r="E1723">
        <v>237</v>
      </c>
    </row>
    <row r="1724" spans="1:5" x14ac:dyDescent="0.25">
      <c r="A1724" s="10">
        <v>44426</v>
      </c>
      <c r="B1724">
        <v>304884</v>
      </c>
      <c r="C1724">
        <v>423185</v>
      </c>
      <c r="D1724" t="s">
        <v>548</v>
      </c>
      <c r="E1724">
        <v>241</v>
      </c>
    </row>
    <row r="1725" spans="1:5" x14ac:dyDescent="0.25">
      <c r="A1725" s="10">
        <v>44426</v>
      </c>
      <c r="B1725">
        <v>304882</v>
      </c>
      <c r="C1725">
        <v>72736</v>
      </c>
      <c r="D1725" t="s">
        <v>549</v>
      </c>
      <c r="E1725">
        <v>245</v>
      </c>
    </row>
    <row r="1726" spans="1:5" x14ac:dyDescent="0.25">
      <c r="A1726" s="10">
        <v>44426</v>
      </c>
      <c r="B1726">
        <v>304884</v>
      </c>
      <c r="C1726">
        <v>314246</v>
      </c>
      <c r="D1726" t="s">
        <v>550</v>
      </c>
      <c r="E1726">
        <v>249</v>
      </c>
    </row>
    <row r="1727" spans="1:5" x14ac:dyDescent="0.25">
      <c r="A1727" s="10">
        <v>44426</v>
      </c>
      <c r="B1727">
        <v>304884</v>
      </c>
      <c r="C1727">
        <v>75182</v>
      </c>
      <c r="D1727" t="s">
        <v>551</v>
      </c>
      <c r="E1727">
        <v>253</v>
      </c>
    </row>
    <row r="1728" spans="1:5" x14ac:dyDescent="0.25">
      <c r="A1728" s="10">
        <v>44426</v>
      </c>
      <c r="B1728">
        <v>304884</v>
      </c>
      <c r="C1728">
        <v>412800</v>
      </c>
      <c r="D1728" t="s">
        <v>552</v>
      </c>
      <c r="E1728">
        <v>257</v>
      </c>
    </row>
    <row r="1729" spans="1:5" x14ac:dyDescent="0.25">
      <c r="A1729" s="10">
        <v>44426</v>
      </c>
      <c r="B1729">
        <v>304884</v>
      </c>
      <c r="C1729">
        <v>328267</v>
      </c>
      <c r="D1729" t="s">
        <v>553</v>
      </c>
      <c r="E1729">
        <v>261</v>
      </c>
    </row>
    <row r="1730" spans="1:5" x14ac:dyDescent="0.25">
      <c r="A1730" s="10">
        <v>44426</v>
      </c>
      <c r="B1730">
        <v>304884</v>
      </c>
      <c r="C1730">
        <v>328267</v>
      </c>
      <c r="D1730" t="s">
        <v>554</v>
      </c>
      <c r="E1730">
        <v>261</v>
      </c>
    </row>
    <row r="1731" spans="1:5" x14ac:dyDescent="0.25">
      <c r="A1731" s="10">
        <v>44426</v>
      </c>
      <c r="B1731">
        <v>304884</v>
      </c>
      <c r="C1731">
        <v>328267</v>
      </c>
      <c r="D1731" t="s">
        <v>555</v>
      </c>
      <c r="E1731">
        <v>261</v>
      </c>
    </row>
    <row r="1732" spans="1:5" x14ac:dyDescent="0.25">
      <c r="A1732" s="10">
        <v>44426</v>
      </c>
      <c r="B1732">
        <v>304884</v>
      </c>
      <c r="C1732">
        <v>328267</v>
      </c>
      <c r="D1732" t="s">
        <v>556</v>
      </c>
      <c r="E1732">
        <v>261</v>
      </c>
    </row>
    <row r="1733" spans="1:5" x14ac:dyDescent="0.25">
      <c r="A1733" s="10">
        <v>44426</v>
      </c>
      <c r="B1733">
        <v>304882</v>
      </c>
      <c r="C1733">
        <v>317398</v>
      </c>
      <c r="D1733" t="s">
        <v>557</v>
      </c>
      <c r="E1733">
        <v>265</v>
      </c>
    </row>
    <row r="1734" spans="1:5" x14ac:dyDescent="0.25">
      <c r="A1734" s="10">
        <v>44426</v>
      </c>
      <c r="B1734">
        <v>304883</v>
      </c>
      <c r="C1734">
        <v>404328</v>
      </c>
      <c r="D1734" t="s">
        <v>558</v>
      </c>
      <c r="E1734">
        <v>324</v>
      </c>
    </row>
    <row r="1735" spans="1:5" x14ac:dyDescent="0.25">
      <c r="A1735" s="10">
        <v>44426</v>
      </c>
      <c r="B1735">
        <v>304885</v>
      </c>
      <c r="C1735">
        <v>402666</v>
      </c>
      <c r="D1735" t="s">
        <v>559</v>
      </c>
      <c r="E1735">
        <v>328</v>
      </c>
    </row>
    <row r="1736" spans="1:5" x14ac:dyDescent="0.25">
      <c r="A1736" s="10">
        <v>44426</v>
      </c>
      <c r="B1736">
        <v>304883</v>
      </c>
      <c r="C1736" t="s">
        <v>145</v>
      </c>
      <c r="D1736" t="s">
        <v>560</v>
      </c>
      <c r="E1736">
        <v>332</v>
      </c>
    </row>
    <row r="1737" spans="1:5" x14ac:dyDescent="0.25">
      <c r="A1737" s="10">
        <v>44426</v>
      </c>
      <c r="B1737">
        <v>304885</v>
      </c>
      <c r="C1737">
        <v>87750</v>
      </c>
      <c r="D1737" t="s">
        <v>561</v>
      </c>
      <c r="E1737">
        <v>336</v>
      </c>
    </row>
    <row r="1738" spans="1:5" x14ac:dyDescent="0.25">
      <c r="A1738" s="10">
        <v>44426</v>
      </c>
      <c r="B1738">
        <v>304886</v>
      </c>
      <c r="C1738">
        <v>405337</v>
      </c>
      <c r="D1738" t="s">
        <v>562</v>
      </c>
      <c r="E1738">
        <v>340</v>
      </c>
    </row>
    <row r="1739" spans="1:5" x14ac:dyDescent="0.25">
      <c r="A1739" s="10">
        <v>44426</v>
      </c>
      <c r="B1739">
        <v>304881</v>
      </c>
      <c r="C1739">
        <v>461887</v>
      </c>
      <c r="D1739" t="s">
        <v>563</v>
      </c>
      <c r="E1739">
        <v>344</v>
      </c>
    </row>
    <row r="1740" spans="1:5" x14ac:dyDescent="0.25">
      <c r="A1740" s="10">
        <v>44426</v>
      </c>
      <c r="B1740">
        <v>304881</v>
      </c>
      <c r="C1740" t="s">
        <v>244</v>
      </c>
      <c r="D1740" t="s">
        <v>564</v>
      </c>
      <c r="E1740">
        <v>348</v>
      </c>
    </row>
    <row r="1741" spans="1:5" x14ac:dyDescent="0.25">
      <c r="A1741" s="10">
        <v>44426</v>
      </c>
      <c r="B1741">
        <v>304881</v>
      </c>
      <c r="C1741" t="s">
        <v>347</v>
      </c>
      <c r="D1741" t="s">
        <v>565</v>
      </c>
      <c r="E1741">
        <v>352</v>
      </c>
    </row>
    <row r="1742" spans="1:5" x14ac:dyDescent="0.25">
      <c r="A1742" s="10">
        <v>44426</v>
      </c>
      <c r="B1742">
        <v>304881</v>
      </c>
      <c r="C1742" t="s">
        <v>348</v>
      </c>
      <c r="D1742" t="s">
        <v>566</v>
      </c>
      <c r="E1742">
        <v>356</v>
      </c>
    </row>
    <row r="1743" spans="1:5" x14ac:dyDescent="0.25">
      <c r="A1743" s="10">
        <v>44426</v>
      </c>
      <c r="B1743">
        <v>304881</v>
      </c>
      <c r="C1743" t="s">
        <v>96</v>
      </c>
      <c r="D1743" t="s">
        <v>567</v>
      </c>
      <c r="E1743">
        <v>362</v>
      </c>
    </row>
    <row r="1744" spans="1:5" x14ac:dyDescent="0.25">
      <c r="A1744" s="10">
        <v>44426</v>
      </c>
      <c r="B1744">
        <v>304881</v>
      </c>
      <c r="C1744" t="s">
        <v>112</v>
      </c>
      <c r="D1744" t="s">
        <v>568</v>
      </c>
      <c r="E1744">
        <v>366</v>
      </c>
    </row>
    <row r="1745" spans="1:5" x14ac:dyDescent="0.25">
      <c r="A1745" s="10">
        <v>44426</v>
      </c>
      <c r="B1745">
        <v>304881</v>
      </c>
      <c r="C1745" t="s">
        <v>97</v>
      </c>
      <c r="D1745" t="s">
        <v>569</v>
      </c>
      <c r="E1745">
        <v>368</v>
      </c>
    </row>
    <row r="1746" spans="1:5" x14ac:dyDescent="0.25">
      <c r="A1746" s="10">
        <v>44426</v>
      </c>
      <c r="B1746">
        <v>304882</v>
      </c>
      <c r="C1746" t="s">
        <v>98</v>
      </c>
      <c r="D1746" t="s">
        <v>570</v>
      </c>
      <c r="E1746">
        <v>376</v>
      </c>
    </row>
    <row r="1747" spans="1:5" x14ac:dyDescent="0.25">
      <c r="A1747" s="10">
        <v>44426</v>
      </c>
      <c r="B1747">
        <v>304883</v>
      </c>
      <c r="C1747">
        <v>432597</v>
      </c>
      <c r="D1747" t="s">
        <v>571</v>
      </c>
      <c r="E1747">
        <v>321</v>
      </c>
    </row>
    <row r="1748" spans="1:5" x14ac:dyDescent="0.25">
      <c r="A1748" s="10">
        <v>44426</v>
      </c>
      <c r="B1748">
        <v>304883</v>
      </c>
      <c r="C1748" t="s">
        <v>99</v>
      </c>
      <c r="D1748" t="s">
        <v>572</v>
      </c>
      <c r="E1748">
        <v>325</v>
      </c>
    </row>
    <row r="1749" spans="1:5" x14ac:dyDescent="0.25">
      <c r="A1749" s="10">
        <v>44426</v>
      </c>
      <c r="B1749">
        <v>304883</v>
      </c>
      <c r="C1749">
        <v>99443</v>
      </c>
      <c r="D1749" t="s">
        <v>573</v>
      </c>
      <c r="E1749">
        <v>333</v>
      </c>
    </row>
    <row r="1750" spans="1:5" x14ac:dyDescent="0.25">
      <c r="A1750" s="10">
        <v>44426</v>
      </c>
      <c r="B1750">
        <v>304883</v>
      </c>
      <c r="C1750">
        <v>310821</v>
      </c>
      <c r="D1750" t="s">
        <v>574</v>
      </c>
      <c r="E1750">
        <v>337</v>
      </c>
    </row>
    <row r="1751" spans="1:5" x14ac:dyDescent="0.25">
      <c r="A1751" s="10">
        <v>44426</v>
      </c>
      <c r="B1751">
        <v>304883</v>
      </c>
      <c r="C1751">
        <v>432598</v>
      </c>
      <c r="D1751" t="s">
        <v>575</v>
      </c>
      <c r="E1751">
        <v>341</v>
      </c>
    </row>
    <row r="1752" spans="1:5" x14ac:dyDescent="0.25">
      <c r="A1752" s="10">
        <v>44426</v>
      </c>
      <c r="B1752">
        <v>304885</v>
      </c>
      <c r="C1752">
        <v>321367</v>
      </c>
      <c r="D1752" t="s">
        <v>576</v>
      </c>
      <c r="E1752">
        <v>345</v>
      </c>
    </row>
    <row r="1753" spans="1:5" x14ac:dyDescent="0.25">
      <c r="A1753" s="10">
        <v>44426</v>
      </c>
      <c r="B1753">
        <v>304885</v>
      </c>
      <c r="C1753">
        <v>87377</v>
      </c>
      <c r="D1753" t="s">
        <v>577</v>
      </c>
      <c r="E1753">
        <v>349</v>
      </c>
    </row>
    <row r="1754" spans="1:5" x14ac:dyDescent="0.25">
      <c r="A1754" s="10">
        <v>44426</v>
      </c>
      <c r="B1754">
        <v>304885</v>
      </c>
      <c r="C1754">
        <v>87376</v>
      </c>
      <c r="D1754" t="s">
        <v>578</v>
      </c>
      <c r="E1754">
        <v>353</v>
      </c>
    </row>
    <row r="1755" spans="1:5" x14ac:dyDescent="0.25">
      <c r="A1755" s="10">
        <v>44426</v>
      </c>
      <c r="B1755">
        <v>304885</v>
      </c>
      <c r="C1755">
        <v>320665</v>
      </c>
      <c r="D1755" t="s">
        <v>579</v>
      </c>
      <c r="E1755">
        <v>357</v>
      </c>
    </row>
    <row r="1756" spans="1:5" x14ac:dyDescent="0.25">
      <c r="A1756" s="10">
        <v>44426</v>
      </c>
      <c r="B1756">
        <v>304881</v>
      </c>
      <c r="C1756">
        <v>461886</v>
      </c>
      <c r="D1756" t="s">
        <v>580</v>
      </c>
      <c r="E1756">
        <v>361</v>
      </c>
    </row>
    <row r="1757" spans="1:5" x14ac:dyDescent="0.25">
      <c r="A1757" s="10">
        <v>44426</v>
      </c>
      <c r="B1757">
        <v>304881</v>
      </c>
      <c r="C1757">
        <v>320763</v>
      </c>
      <c r="D1757" t="s">
        <v>581</v>
      </c>
      <c r="E1757">
        <v>365</v>
      </c>
    </row>
    <row r="1758" spans="1:5" x14ac:dyDescent="0.25">
      <c r="A1758" s="10">
        <v>44426</v>
      </c>
      <c r="B1758">
        <v>304881</v>
      </c>
      <c r="C1758" t="s">
        <v>113</v>
      </c>
      <c r="D1758" t="s">
        <v>582</v>
      </c>
      <c r="E1758">
        <v>369</v>
      </c>
    </row>
    <row r="1759" spans="1:5" x14ac:dyDescent="0.25">
      <c r="A1759" s="10">
        <v>44426</v>
      </c>
      <c r="B1759">
        <v>304887</v>
      </c>
      <c r="C1759">
        <v>203589</v>
      </c>
      <c r="D1759" t="s">
        <v>583</v>
      </c>
      <c r="E1759">
        <v>420</v>
      </c>
    </row>
    <row r="1760" spans="1:5" x14ac:dyDescent="0.25">
      <c r="A1760" s="10">
        <v>44426</v>
      </c>
      <c r="B1760">
        <v>304883</v>
      </c>
      <c r="C1760" t="s">
        <v>349</v>
      </c>
      <c r="D1760" t="s">
        <v>584</v>
      </c>
      <c r="E1760">
        <v>436</v>
      </c>
    </row>
    <row r="1761" spans="1:5" x14ac:dyDescent="0.25">
      <c r="A1761" s="10">
        <v>44426</v>
      </c>
      <c r="B1761">
        <v>304883</v>
      </c>
      <c r="C1761">
        <v>438438</v>
      </c>
      <c r="D1761" t="s">
        <v>585</v>
      </c>
      <c r="E1761">
        <v>438</v>
      </c>
    </row>
    <row r="1762" spans="1:5" x14ac:dyDescent="0.25">
      <c r="A1762" s="10">
        <v>44426</v>
      </c>
      <c r="B1762">
        <v>304887</v>
      </c>
      <c r="C1762" t="s">
        <v>114</v>
      </c>
      <c r="D1762" t="s">
        <v>586</v>
      </c>
      <c r="E1762">
        <v>468</v>
      </c>
    </row>
    <row r="1763" spans="1:5" x14ac:dyDescent="0.25">
      <c r="A1763" s="10">
        <v>44426</v>
      </c>
      <c r="B1763">
        <v>304887</v>
      </c>
      <c r="C1763" t="s">
        <v>350</v>
      </c>
      <c r="D1763" t="s">
        <v>587</v>
      </c>
      <c r="E1763">
        <v>470</v>
      </c>
    </row>
    <row r="1764" spans="1:5" x14ac:dyDescent="0.25">
      <c r="A1764" s="10">
        <v>44426</v>
      </c>
      <c r="B1764">
        <v>304884</v>
      </c>
      <c r="C1764">
        <v>305177</v>
      </c>
      <c r="D1764" t="s">
        <v>588</v>
      </c>
      <c r="E1764">
        <v>419</v>
      </c>
    </row>
    <row r="1765" spans="1:5" x14ac:dyDescent="0.25">
      <c r="A1765" s="10">
        <v>44426</v>
      </c>
      <c r="B1765">
        <v>304886</v>
      </c>
      <c r="C1765">
        <v>14958</v>
      </c>
      <c r="D1765" t="s">
        <v>589</v>
      </c>
      <c r="E1765">
        <v>421</v>
      </c>
    </row>
    <row r="1766" spans="1:5" x14ac:dyDescent="0.25">
      <c r="A1766" s="10">
        <v>44426</v>
      </c>
      <c r="B1766">
        <v>304881</v>
      </c>
      <c r="C1766" t="s">
        <v>115</v>
      </c>
      <c r="D1766" t="s">
        <v>590</v>
      </c>
      <c r="E1766">
        <v>423</v>
      </c>
    </row>
    <row r="1767" spans="1:5" x14ac:dyDescent="0.25">
      <c r="A1767" s="10">
        <v>44426</v>
      </c>
      <c r="B1767">
        <v>304883</v>
      </c>
      <c r="C1767" t="s">
        <v>351</v>
      </c>
      <c r="D1767" t="s">
        <v>591</v>
      </c>
      <c r="E1767">
        <v>425</v>
      </c>
    </row>
    <row r="1768" spans="1:5" x14ac:dyDescent="0.25">
      <c r="A1768" s="10">
        <v>44426</v>
      </c>
      <c r="B1768">
        <v>304884</v>
      </c>
      <c r="C1768" t="s">
        <v>102</v>
      </c>
      <c r="D1768" t="s">
        <v>592</v>
      </c>
      <c r="E1768">
        <v>522</v>
      </c>
    </row>
    <row r="1769" spans="1:5" x14ac:dyDescent="0.25">
      <c r="A1769" s="10">
        <v>44426</v>
      </c>
      <c r="B1769">
        <v>304884</v>
      </c>
      <c r="C1769">
        <v>524524</v>
      </c>
      <c r="D1769" t="s">
        <v>593</v>
      </c>
      <c r="E1769">
        <v>524</v>
      </c>
    </row>
    <row r="1770" spans="1:5" x14ac:dyDescent="0.25">
      <c r="A1770" s="10">
        <v>44426</v>
      </c>
      <c r="B1770">
        <v>304884</v>
      </c>
      <c r="C1770" t="s">
        <v>136</v>
      </c>
      <c r="D1770" t="s">
        <v>594</v>
      </c>
      <c r="E1770">
        <v>526</v>
      </c>
    </row>
    <row r="1771" spans="1:5" x14ac:dyDescent="0.25">
      <c r="A1771" s="10">
        <v>44426</v>
      </c>
      <c r="B1771">
        <v>304887</v>
      </c>
      <c r="C1771" t="s">
        <v>103</v>
      </c>
      <c r="D1771" t="s">
        <v>595</v>
      </c>
      <c r="E1771">
        <v>530</v>
      </c>
    </row>
    <row r="1772" spans="1:5" x14ac:dyDescent="0.25">
      <c r="A1772" s="10">
        <v>44426</v>
      </c>
      <c r="B1772">
        <v>304881</v>
      </c>
      <c r="C1772" t="s">
        <v>104</v>
      </c>
      <c r="D1772" t="s">
        <v>596</v>
      </c>
      <c r="E1772">
        <v>532</v>
      </c>
    </row>
    <row r="1773" spans="1:5" x14ac:dyDescent="0.25">
      <c r="A1773" s="10">
        <v>44426</v>
      </c>
      <c r="B1773">
        <v>304881</v>
      </c>
      <c r="C1773" t="s">
        <v>105</v>
      </c>
      <c r="D1773" t="s">
        <v>597</v>
      </c>
      <c r="E1773">
        <v>538</v>
      </c>
    </row>
    <row r="1774" spans="1:5" x14ac:dyDescent="0.25">
      <c r="A1774" s="10">
        <v>44426</v>
      </c>
      <c r="B1774">
        <v>304887</v>
      </c>
      <c r="C1774">
        <v>542542</v>
      </c>
      <c r="D1774" t="s">
        <v>598</v>
      </c>
      <c r="E1774">
        <v>542</v>
      </c>
    </row>
    <row r="1775" spans="1:5" x14ac:dyDescent="0.25">
      <c r="A1775" s="10">
        <v>44426</v>
      </c>
      <c r="B1775">
        <v>304886</v>
      </c>
      <c r="C1775" t="s">
        <v>106</v>
      </c>
      <c r="D1775" t="s">
        <v>599</v>
      </c>
      <c r="E1775">
        <v>616</v>
      </c>
    </row>
    <row r="1776" spans="1:5" x14ac:dyDescent="0.25">
      <c r="A1776" s="10">
        <v>44426</v>
      </c>
      <c r="B1776">
        <v>304914</v>
      </c>
      <c r="C1776" t="s">
        <v>148</v>
      </c>
      <c r="D1776" t="s">
        <v>600</v>
      </c>
      <c r="E1776">
        <v>640</v>
      </c>
    </row>
    <row r="1777" spans="1:5" x14ac:dyDescent="0.25">
      <c r="A1777" s="10">
        <v>44426</v>
      </c>
      <c r="B1777">
        <v>304886</v>
      </c>
      <c r="C1777" t="s">
        <v>109</v>
      </c>
      <c r="D1777" t="s">
        <v>601</v>
      </c>
      <c r="E1777">
        <v>654</v>
      </c>
    </row>
    <row r="1778" spans="1:5" x14ac:dyDescent="0.25">
      <c r="A1778" s="10">
        <v>44426</v>
      </c>
      <c r="B1778">
        <v>304886</v>
      </c>
      <c r="C1778" t="s">
        <v>121</v>
      </c>
      <c r="D1778" t="s">
        <v>602</v>
      </c>
      <c r="E1778">
        <v>656</v>
      </c>
    </row>
    <row r="1779" spans="1:5" x14ac:dyDescent="0.25">
      <c r="A1779" s="10">
        <v>44426</v>
      </c>
      <c r="B1779">
        <v>304886</v>
      </c>
      <c r="C1779" t="s">
        <v>117</v>
      </c>
      <c r="D1779" t="s">
        <v>603</v>
      </c>
      <c r="E1779">
        <v>660</v>
      </c>
    </row>
    <row r="1780" spans="1:5" x14ac:dyDescent="0.25">
      <c r="A1780" s="10">
        <v>44426</v>
      </c>
      <c r="B1780">
        <v>304886</v>
      </c>
      <c r="C1780">
        <v>87511</v>
      </c>
      <c r="D1780" t="s">
        <v>604</v>
      </c>
      <c r="E1780">
        <v>615</v>
      </c>
    </row>
    <row r="1781" spans="1:5" x14ac:dyDescent="0.25">
      <c r="A1781" s="10">
        <v>44426</v>
      </c>
      <c r="B1781">
        <v>304914</v>
      </c>
      <c r="C1781">
        <v>421736</v>
      </c>
      <c r="D1781" t="s">
        <v>605</v>
      </c>
      <c r="E1781">
        <v>617</v>
      </c>
    </row>
    <row r="1782" spans="1:5" x14ac:dyDescent="0.25">
      <c r="A1782" s="10">
        <v>44427</v>
      </c>
      <c r="B1782">
        <v>304988</v>
      </c>
      <c r="C1782">
        <v>432600</v>
      </c>
      <c r="D1782" t="s">
        <v>606</v>
      </c>
      <c r="E1782">
        <v>124</v>
      </c>
    </row>
    <row r="1783" spans="1:5" x14ac:dyDescent="0.25">
      <c r="A1783" s="10">
        <v>44427</v>
      </c>
      <c r="B1783">
        <v>304988</v>
      </c>
      <c r="C1783">
        <v>432595</v>
      </c>
      <c r="D1783" t="s">
        <v>607</v>
      </c>
      <c r="E1783">
        <v>128</v>
      </c>
    </row>
    <row r="1784" spans="1:5" x14ac:dyDescent="0.25">
      <c r="A1784" s="10">
        <v>44427</v>
      </c>
      <c r="B1784">
        <v>304886</v>
      </c>
      <c r="C1784" t="s">
        <v>304</v>
      </c>
      <c r="D1784" t="s">
        <v>608</v>
      </c>
      <c r="E1784">
        <v>132</v>
      </c>
    </row>
    <row r="1785" spans="1:5" x14ac:dyDescent="0.25">
      <c r="A1785" s="10">
        <v>44427</v>
      </c>
      <c r="B1785">
        <v>304988</v>
      </c>
      <c r="C1785">
        <v>84334</v>
      </c>
      <c r="D1785" t="s">
        <v>609</v>
      </c>
      <c r="E1785">
        <v>136</v>
      </c>
    </row>
    <row r="1786" spans="1:5" x14ac:dyDescent="0.25">
      <c r="A1786" s="10">
        <v>44427</v>
      </c>
      <c r="B1786">
        <v>304988</v>
      </c>
      <c r="C1786">
        <v>463875</v>
      </c>
      <c r="D1786" t="s">
        <v>610</v>
      </c>
      <c r="E1786">
        <v>140</v>
      </c>
    </row>
    <row r="1787" spans="1:5" x14ac:dyDescent="0.25">
      <c r="A1787" s="10">
        <v>44427</v>
      </c>
      <c r="B1787">
        <v>304887</v>
      </c>
      <c r="C1787">
        <v>326234</v>
      </c>
      <c r="D1787" t="s">
        <v>611</v>
      </c>
      <c r="E1787">
        <v>144</v>
      </c>
    </row>
    <row r="1788" spans="1:5" x14ac:dyDescent="0.25">
      <c r="A1788" s="10">
        <v>44427</v>
      </c>
      <c r="B1788">
        <v>304882</v>
      </c>
      <c r="C1788">
        <v>317397</v>
      </c>
      <c r="D1788" t="s">
        <v>612</v>
      </c>
      <c r="E1788">
        <v>148</v>
      </c>
    </row>
    <row r="1789" spans="1:5" x14ac:dyDescent="0.25">
      <c r="A1789" s="10">
        <v>44427</v>
      </c>
      <c r="B1789">
        <v>304887</v>
      </c>
      <c r="C1789">
        <v>411264</v>
      </c>
      <c r="D1789" t="s">
        <v>613</v>
      </c>
      <c r="E1789">
        <v>152</v>
      </c>
    </row>
    <row r="1790" spans="1:5" x14ac:dyDescent="0.25">
      <c r="A1790" s="10">
        <v>44427</v>
      </c>
      <c r="B1790">
        <v>304887</v>
      </c>
      <c r="C1790">
        <v>420522</v>
      </c>
      <c r="D1790" t="s">
        <v>614</v>
      </c>
      <c r="E1790">
        <v>156</v>
      </c>
    </row>
    <row r="1791" spans="1:5" x14ac:dyDescent="0.25">
      <c r="A1791" s="10">
        <v>44427</v>
      </c>
      <c r="B1791">
        <v>304887</v>
      </c>
      <c r="C1791">
        <v>431154</v>
      </c>
      <c r="D1791" t="s">
        <v>615</v>
      </c>
      <c r="E1791">
        <v>160</v>
      </c>
    </row>
    <row r="1792" spans="1:5" x14ac:dyDescent="0.25">
      <c r="A1792" s="10">
        <v>44427</v>
      </c>
      <c r="B1792">
        <v>304887</v>
      </c>
      <c r="C1792" t="s">
        <v>128</v>
      </c>
      <c r="D1792" t="s">
        <v>616</v>
      </c>
      <c r="E1792">
        <v>162</v>
      </c>
    </row>
    <row r="1793" spans="1:5" x14ac:dyDescent="0.25">
      <c r="A1793" s="10">
        <v>44427</v>
      </c>
      <c r="B1793">
        <v>304887</v>
      </c>
      <c r="C1793" t="s">
        <v>352</v>
      </c>
      <c r="D1793" t="s">
        <v>617</v>
      </c>
      <c r="E1793">
        <v>164</v>
      </c>
    </row>
    <row r="1794" spans="1:5" x14ac:dyDescent="0.25">
      <c r="A1794" s="10">
        <v>44427</v>
      </c>
      <c r="B1794">
        <v>304887</v>
      </c>
      <c r="C1794" t="s">
        <v>353</v>
      </c>
      <c r="D1794" t="s">
        <v>618</v>
      </c>
      <c r="E1794">
        <v>117</v>
      </c>
    </row>
    <row r="1795" spans="1:5" x14ac:dyDescent="0.25">
      <c r="A1795" s="10">
        <v>44427</v>
      </c>
      <c r="B1795">
        <v>304881</v>
      </c>
      <c r="C1795">
        <v>434748</v>
      </c>
      <c r="D1795" t="s">
        <v>619</v>
      </c>
      <c r="E1795">
        <v>121</v>
      </c>
    </row>
    <row r="1796" spans="1:5" x14ac:dyDescent="0.25">
      <c r="A1796" s="10">
        <v>44427</v>
      </c>
      <c r="B1796">
        <v>304881</v>
      </c>
      <c r="C1796">
        <v>424959</v>
      </c>
      <c r="D1796" t="s">
        <v>620</v>
      </c>
      <c r="E1796">
        <v>125</v>
      </c>
    </row>
    <row r="1797" spans="1:5" x14ac:dyDescent="0.25">
      <c r="A1797" s="10">
        <v>44427</v>
      </c>
      <c r="B1797">
        <v>304887</v>
      </c>
      <c r="C1797">
        <v>417342</v>
      </c>
      <c r="D1797" t="s">
        <v>621</v>
      </c>
      <c r="E1797">
        <v>129</v>
      </c>
    </row>
    <row r="1798" spans="1:5" x14ac:dyDescent="0.25">
      <c r="A1798" s="10">
        <v>44427</v>
      </c>
      <c r="B1798">
        <v>304882</v>
      </c>
      <c r="C1798">
        <v>316421</v>
      </c>
      <c r="D1798" t="s">
        <v>622</v>
      </c>
      <c r="E1798">
        <v>133</v>
      </c>
    </row>
    <row r="1799" spans="1:5" x14ac:dyDescent="0.25">
      <c r="A1799" s="10">
        <v>44427</v>
      </c>
      <c r="B1799">
        <v>304881</v>
      </c>
      <c r="C1799">
        <v>404394</v>
      </c>
      <c r="D1799" t="s">
        <v>623</v>
      </c>
      <c r="E1799">
        <v>137</v>
      </c>
    </row>
    <row r="1800" spans="1:5" x14ac:dyDescent="0.25">
      <c r="A1800" s="10">
        <v>44427</v>
      </c>
      <c r="B1800">
        <v>304887</v>
      </c>
      <c r="C1800">
        <v>409256</v>
      </c>
      <c r="D1800" t="s">
        <v>624</v>
      </c>
      <c r="E1800">
        <v>141</v>
      </c>
    </row>
    <row r="1801" spans="1:5" x14ac:dyDescent="0.25">
      <c r="A1801" s="10">
        <v>44427</v>
      </c>
      <c r="B1801">
        <v>304882</v>
      </c>
      <c r="C1801">
        <v>400398</v>
      </c>
      <c r="D1801" t="s">
        <v>625</v>
      </c>
      <c r="E1801">
        <v>145</v>
      </c>
    </row>
    <row r="1802" spans="1:5" x14ac:dyDescent="0.25">
      <c r="A1802" s="10">
        <v>44427</v>
      </c>
      <c r="B1802">
        <v>304887</v>
      </c>
      <c r="C1802">
        <v>404439</v>
      </c>
      <c r="D1802" t="s">
        <v>626</v>
      </c>
      <c r="E1802">
        <v>149</v>
      </c>
    </row>
    <row r="1803" spans="1:5" x14ac:dyDescent="0.25">
      <c r="A1803" s="10">
        <v>44427</v>
      </c>
      <c r="B1803">
        <v>304887</v>
      </c>
      <c r="C1803">
        <v>417490</v>
      </c>
      <c r="D1803" t="s">
        <v>627</v>
      </c>
      <c r="E1803">
        <v>153</v>
      </c>
    </row>
    <row r="1804" spans="1:5" x14ac:dyDescent="0.25">
      <c r="A1804" s="10">
        <v>44427</v>
      </c>
      <c r="B1804">
        <v>304885</v>
      </c>
      <c r="C1804">
        <v>87502</v>
      </c>
      <c r="D1804" t="s">
        <v>628</v>
      </c>
      <c r="E1804">
        <v>157</v>
      </c>
    </row>
    <row r="1805" spans="1:5" x14ac:dyDescent="0.25">
      <c r="A1805" s="10">
        <v>44427</v>
      </c>
      <c r="B1805">
        <v>304887</v>
      </c>
      <c r="C1805">
        <v>461696</v>
      </c>
      <c r="D1805" t="s">
        <v>629</v>
      </c>
      <c r="E1805">
        <v>161</v>
      </c>
    </row>
    <row r="1806" spans="1:5" x14ac:dyDescent="0.25">
      <c r="A1806" s="10">
        <v>44427</v>
      </c>
      <c r="B1806">
        <v>304882</v>
      </c>
      <c r="C1806">
        <v>320300</v>
      </c>
      <c r="D1806" t="s">
        <v>630</v>
      </c>
      <c r="E1806">
        <v>165</v>
      </c>
    </row>
    <row r="1807" spans="1:5" x14ac:dyDescent="0.25">
      <c r="A1807" s="10">
        <v>44427</v>
      </c>
      <c r="B1807">
        <v>304882</v>
      </c>
      <c r="C1807" t="s">
        <v>91</v>
      </c>
      <c r="D1807" t="s">
        <v>631</v>
      </c>
      <c r="E1807">
        <v>169</v>
      </c>
    </row>
    <row r="1808" spans="1:5" x14ac:dyDescent="0.25">
      <c r="A1808" s="10">
        <v>44427</v>
      </c>
      <c r="B1808">
        <v>304914</v>
      </c>
      <c r="C1808">
        <v>425044</v>
      </c>
      <c r="D1808" t="s">
        <v>632</v>
      </c>
      <c r="E1808">
        <v>224</v>
      </c>
    </row>
    <row r="1809" spans="1:5" x14ac:dyDescent="0.25">
      <c r="A1809" s="10">
        <v>44427</v>
      </c>
      <c r="B1809">
        <v>304914</v>
      </c>
      <c r="C1809">
        <v>425045</v>
      </c>
      <c r="D1809" t="s">
        <v>633</v>
      </c>
      <c r="E1809">
        <v>228</v>
      </c>
    </row>
    <row r="1810" spans="1:5" x14ac:dyDescent="0.25">
      <c r="A1810" s="10">
        <v>44427</v>
      </c>
      <c r="B1810">
        <v>304914</v>
      </c>
      <c r="C1810" t="s">
        <v>92</v>
      </c>
      <c r="D1810" t="s">
        <v>634</v>
      </c>
      <c r="E1810">
        <v>232</v>
      </c>
    </row>
    <row r="1811" spans="1:5" x14ac:dyDescent="0.25">
      <c r="A1811" s="10">
        <v>44427</v>
      </c>
      <c r="B1811">
        <v>304914</v>
      </c>
      <c r="C1811">
        <v>421733</v>
      </c>
      <c r="D1811" t="s">
        <v>635</v>
      </c>
      <c r="E1811">
        <v>236</v>
      </c>
    </row>
    <row r="1812" spans="1:5" x14ac:dyDescent="0.25">
      <c r="A1812" s="10">
        <v>44427</v>
      </c>
      <c r="B1812">
        <v>304914</v>
      </c>
      <c r="C1812">
        <v>421730</v>
      </c>
      <c r="D1812" t="s">
        <v>636</v>
      </c>
      <c r="E1812">
        <v>240</v>
      </c>
    </row>
    <row r="1813" spans="1:5" x14ac:dyDescent="0.25">
      <c r="A1813" s="10">
        <v>44427</v>
      </c>
      <c r="B1813">
        <v>304914</v>
      </c>
      <c r="C1813">
        <v>425046</v>
      </c>
      <c r="D1813" t="s">
        <v>637</v>
      </c>
      <c r="E1813">
        <v>244</v>
      </c>
    </row>
    <row r="1814" spans="1:5" x14ac:dyDescent="0.25">
      <c r="A1814" s="10">
        <v>44427</v>
      </c>
      <c r="B1814">
        <v>304914</v>
      </c>
      <c r="C1814">
        <v>439935</v>
      </c>
      <c r="D1814" t="s">
        <v>638</v>
      </c>
      <c r="E1814">
        <v>248</v>
      </c>
    </row>
    <row r="1815" spans="1:5" x14ac:dyDescent="0.25">
      <c r="A1815" s="10">
        <v>44427</v>
      </c>
      <c r="B1815">
        <v>304914</v>
      </c>
      <c r="C1815" t="s">
        <v>93</v>
      </c>
      <c r="D1815" t="s">
        <v>639</v>
      </c>
      <c r="E1815">
        <v>252</v>
      </c>
    </row>
    <row r="1816" spans="1:5" x14ac:dyDescent="0.25">
      <c r="A1816" s="10">
        <v>44427</v>
      </c>
      <c r="B1816">
        <v>304885</v>
      </c>
      <c r="C1816">
        <v>412667</v>
      </c>
      <c r="D1816" t="s">
        <v>640</v>
      </c>
      <c r="E1816">
        <v>256</v>
      </c>
    </row>
    <row r="1817" spans="1:5" x14ac:dyDescent="0.25">
      <c r="A1817" s="10">
        <v>44427</v>
      </c>
      <c r="B1817">
        <v>304914</v>
      </c>
      <c r="C1817" t="s">
        <v>94</v>
      </c>
      <c r="D1817" t="s">
        <v>641</v>
      </c>
      <c r="E1817">
        <v>260</v>
      </c>
    </row>
    <row r="1818" spans="1:5" x14ac:dyDescent="0.25">
      <c r="A1818" s="10">
        <v>44427</v>
      </c>
      <c r="B1818">
        <v>304914</v>
      </c>
      <c r="C1818">
        <v>262262</v>
      </c>
      <c r="D1818" t="s">
        <v>642</v>
      </c>
      <c r="E1818">
        <v>262</v>
      </c>
    </row>
    <row r="1819" spans="1:5" x14ac:dyDescent="0.25">
      <c r="A1819" s="10">
        <v>44427</v>
      </c>
      <c r="B1819">
        <v>304914</v>
      </c>
      <c r="C1819" t="s">
        <v>130</v>
      </c>
      <c r="D1819" t="s">
        <v>643</v>
      </c>
      <c r="E1819">
        <v>264</v>
      </c>
    </row>
    <row r="1820" spans="1:5" x14ac:dyDescent="0.25">
      <c r="A1820" s="10">
        <v>44427</v>
      </c>
      <c r="B1820">
        <v>304914</v>
      </c>
      <c r="C1820" t="s">
        <v>252</v>
      </c>
      <c r="D1820" t="s">
        <v>644</v>
      </c>
      <c r="E1820">
        <v>266</v>
      </c>
    </row>
    <row r="1821" spans="1:5" x14ac:dyDescent="0.25">
      <c r="A1821" s="10">
        <v>44427</v>
      </c>
      <c r="B1821">
        <v>304884</v>
      </c>
      <c r="C1821">
        <v>99450</v>
      </c>
      <c r="D1821" t="s">
        <v>645</v>
      </c>
      <c r="E1821">
        <v>221</v>
      </c>
    </row>
    <row r="1822" spans="1:5" x14ac:dyDescent="0.25">
      <c r="A1822" s="10">
        <v>44427</v>
      </c>
      <c r="B1822">
        <v>304884</v>
      </c>
      <c r="C1822">
        <v>403441</v>
      </c>
      <c r="D1822" t="s">
        <v>646</v>
      </c>
      <c r="E1822">
        <v>225</v>
      </c>
    </row>
    <row r="1823" spans="1:5" x14ac:dyDescent="0.25">
      <c r="A1823" s="10">
        <v>44427</v>
      </c>
      <c r="B1823">
        <v>304884</v>
      </c>
      <c r="C1823">
        <v>86159</v>
      </c>
      <c r="D1823" t="s">
        <v>647</v>
      </c>
      <c r="E1823">
        <v>229</v>
      </c>
    </row>
    <row r="1824" spans="1:5" x14ac:dyDescent="0.25">
      <c r="A1824" s="10">
        <v>44427</v>
      </c>
      <c r="B1824">
        <v>304988</v>
      </c>
      <c r="C1824" t="s">
        <v>159</v>
      </c>
      <c r="D1824" t="s">
        <v>648</v>
      </c>
      <c r="E1824">
        <v>233</v>
      </c>
    </row>
    <row r="1825" spans="1:5" x14ac:dyDescent="0.25">
      <c r="A1825" s="10">
        <v>44427</v>
      </c>
      <c r="B1825">
        <v>304988</v>
      </c>
      <c r="C1825" t="s">
        <v>354</v>
      </c>
      <c r="D1825" t="s">
        <v>649</v>
      </c>
      <c r="E1825">
        <v>237</v>
      </c>
    </row>
    <row r="1826" spans="1:5" x14ac:dyDescent="0.25">
      <c r="A1826" s="10">
        <v>44427</v>
      </c>
      <c r="B1826">
        <v>304884</v>
      </c>
      <c r="C1826">
        <v>423185</v>
      </c>
      <c r="D1826" t="s">
        <v>417</v>
      </c>
      <c r="E1826">
        <v>241</v>
      </c>
    </row>
    <row r="1827" spans="1:5" x14ac:dyDescent="0.25">
      <c r="A1827" s="10">
        <v>44427</v>
      </c>
      <c r="B1827">
        <v>304882</v>
      </c>
      <c r="C1827">
        <v>72736</v>
      </c>
      <c r="D1827" t="s">
        <v>418</v>
      </c>
      <c r="E1827">
        <v>245</v>
      </c>
    </row>
    <row r="1828" spans="1:5" x14ac:dyDescent="0.25">
      <c r="A1828" s="10">
        <v>44427</v>
      </c>
      <c r="B1828">
        <v>304884</v>
      </c>
      <c r="C1828">
        <v>314246</v>
      </c>
      <c r="D1828" t="s">
        <v>419</v>
      </c>
      <c r="E1828">
        <v>249</v>
      </c>
    </row>
    <row r="1829" spans="1:5" x14ac:dyDescent="0.25">
      <c r="A1829" s="10">
        <v>44427</v>
      </c>
      <c r="B1829">
        <v>304884</v>
      </c>
      <c r="C1829">
        <v>75182</v>
      </c>
      <c r="D1829" t="s">
        <v>420</v>
      </c>
      <c r="E1829">
        <v>253</v>
      </c>
    </row>
    <row r="1830" spans="1:5" x14ac:dyDescent="0.25">
      <c r="A1830" s="10">
        <v>44427</v>
      </c>
      <c r="B1830">
        <v>304884</v>
      </c>
      <c r="C1830">
        <v>412800</v>
      </c>
      <c r="D1830" t="s">
        <v>421</v>
      </c>
      <c r="E1830">
        <v>257</v>
      </c>
    </row>
    <row r="1831" spans="1:5" x14ac:dyDescent="0.25">
      <c r="A1831" s="10">
        <v>44427</v>
      </c>
      <c r="B1831">
        <v>304884</v>
      </c>
      <c r="C1831">
        <v>328267</v>
      </c>
      <c r="D1831" t="s">
        <v>422</v>
      </c>
      <c r="E1831">
        <v>261</v>
      </c>
    </row>
    <row r="1832" spans="1:5" x14ac:dyDescent="0.25">
      <c r="A1832" s="10">
        <v>44427</v>
      </c>
      <c r="B1832">
        <v>304882</v>
      </c>
      <c r="C1832">
        <v>317398</v>
      </c>
      <c r="D1832" t="s">
        <v>423</v>
      </c>
      <c r="E1832">
        <v>265</v>
      </c>
    </row>
    <row r="1833" spans="1:5" x14ac:dyDescent="0.25">
      <c r="A1833" s="10">
        <v>44427</v>
      </c>
      <c r="B1833">
        <v>304883</v>
      </c>
      <c r="C1833" t="s">
        <v>149</v>
      </c>
      <c r="D1833" t="s">
        <v>424</v>
      </c>
      <c r="E1833">
        <v>324</v>
      </c>
    </row>
    <row r="1834" spans="1:5" x14ac:dyDescent="0.25">
      <c r="A1834" s="10">
        <v>44427</v>
      </c>
      <c r="B1834">
        <v>304885</v>
      </c>
      <c r="C1834">
        <v>402666</v>
      </c>
      <c r="D1834" t="s">
        <v>425</v>
      </c>
      <c r="E1834">
        <v>328</v>
      </c>
    </row>
    <row r="1835" spans="1:5" x14ac:dyDescent="0.25">
      <c r="A1835" s="10">
        <v>44427</v>
      </c>
      <c r="B1835">
        <v>304883</v>
      </c>
      <c r="C1835" t="s">
        <v>355</v>
      </c>
      <c r="D1835" t="s">
        <v>426</v>
      </c>
      <c r="E1835">
        <v>332</v>
      </c>
    </row>
    <row r="1836" spans="1:5" x14ac:dyDescent="0.25">
      <c r="A1836" s="10">
        <v>44427</v>
      </c>
      <c r="B1836">
        <v>304885</v>
      </c>
      <c r="C1836">
        <v>87750</v>
      </c>
      <c r="D1836" t="s">
        <v>427</v>
      </c>
      <c r="E1836">
        <v>336</v>
      </c>
    </row>
    <row r="1837" spans="1:5" x14ac:dyDescent="0.25">
      <c r="A1837" s="10">
        <v>44427</v>
      </c>
      <c r="B1837">
        <v>304886</v>
      </c>
      <c r="C1837">
        <v>405337</v>
      </c>
      <c r="D1837" t="s">
        <v>428</v>
      </c>
      <c r="E1837">
        <v>340</v>
      </c>
    </row>
    <row r="1838" spans="1:5" x14ac:dyDescent="0.25">
      <c r="A1838" s="10">
        <v>44427</v>
      </c>
      <c r="B1838">
        <v>304881</v>
      </c>
      <c r="C1838">
        <v>461887</v>
      </c>
      <c r="D1838" t="s">
        <v>429</v>
      </c>
      <c r="E1838">
        <v>344</v>
      </c>
    </row>
    <row r="1839" spans="1:5" x14ac:dyDescent="0.25">
      <c r="A1839" s="10">
        <v>44427</v>
      </c>
      <c r="B1839">
        <v>304881</v>
      </c>
      <c r="C1839">
        <v>415600</v>
      </c>
      <c r="D1839" t="s">
        <v>430</v>
      </c>
      <c r="E1839">
        <v>348</v>
      </c>
    </row>
    <row r="1840" spans="1:5" x14ac:dyDescent="0.25">
      <c r="A1840" s="10">
        <v>44427</v>
      </c>
      <c r="B1840">
        <v>304881</v>
      </c>
      <c r="C1840">
        <v>461885</v>
      </c>
      <c r="D1840" t="s">
        <v>431</v>
      </c>
      <c r="E1840">
        <v>352</v>
      </c>
    </row>
    <row r="1841" spans="1:5" x14ac:dyDescent="0.25">
      <c r="A1841" s="10">
        <v>44427</v>
      </c>
      <c r="B1841">
        <v>304881</v>
      </c>
      <c r="C1841">
        <v>434749</v>
      </c>
      <c r="D1841" t="s">
        <v>432</v>
      </c>
      <c r="E1841">
        <v>356</v>
      </c>
    </row>
    <row r="1842" spans="1:5" x14ac:dyDescent="0.25">
      <c r="A1842" s="10">
        <v>44427</v>
      </c>
      <c r="B1842">
        <v>304881</v>
      </c>
      <c r="C1842" t="s">
        <v>95</v>
      </c>
      <c r="D1842" t="s">
        <v>433</v>
      </c>
      <c r="E1842">
        <v>360</v>
      </c>
    </row>
    <row r="1843" spans="1:5" x14ac:dyDescent="0.25">
      <c r="A1843" s="10">
        <v>44427</v>
      </c>
      <c r="B1843">
        <v>304881</v>
      </c>
      <c r="C1843" t="s">
        <v>96</v>
      </c>
      <c r="D1843" t="s">
        <v>434</v>
      </c>
      <c r="E1843">
        <v>362</v>
      </c>
    </row>
    <row r="1844" spans="1:5" x14ac:dyDescent="0.25">
      <c r="A1844" s="10">
        <v>44427</v>
      </c>
      <c r="B1844">
        <v>304881</v>
      </c>
      <c r="C1844" t="s">
        <v>112</v>
      </c>
      <c r="D1844" t="s">
        <v>435</v>
      </c>
      <c r="E1844">
        <v>366</v>
      </c>
    </row>
    <row r="1845" spans="1:5" x14ac:dyDescent="0.25">
      <c r="A1845" s="10">
        <v>44427</v>
      </c>
      <c r="B1845">
        <v>304881</v>
      </c>
      <c r="C1845" t="s">
        <v>97</v>
      </c>
      <c r="D1845" t="s">
        <v>436</v>
      </c>
      <c r="E1845">
        <v>368</v>
      </c>
    </row>
    <row r="1846" spans="1:5" x14ac:dyDescent="0.25">
      <c r="A1846" s="10">
        <v>44427</v>
      </c>
      <c r="B1846">
        <v>304885</v>
      </c>
      <c r="C1846" t="s">
        <v>127</v>
      </c>
      <c r="D1846" t="s">
        <v>437</v>
      </c>
      <c r="E1846">
        <v>370</v>
      </c>
    </row>
    <row r="1847" spans="1:5" x14ac:dyDescent="0.25">
      <c r="A1847" s="10">
        <v>44427</v>
      </c>
      <c r="B1847">
        <v>304882</v>
      </c>
      <c r="C1847" t="s">
        <v>98</v>
      </c>
      <c r="D1847" t="s">
        <v>438</v>
      </c>
      <c r="E1847">
        <v>376</v>
      </c>
    </row>
    <row r="1848" spans="1:5" x14ac:dyDescent="0.25">
      <c r="A1848" s="10">
        <v>44427</v>
      </c>
      <c r="B1848">
        <v>304883</v>
      </c>
      <c r="C1848">
        <v>432597</v>
      </c>
      <c r="D1848" t="s">
        <v>439</v>
      </c>
      <c r="E1848">
        <v>321</v>
      </c>
    </row>
    <row r="1849" spans="1:5" x14ac:dyDescent="0.25">
      <c r="A1849" s="10">
        <v>44427</v>
      </c>
      <c r="B1849">
        <v>304883</v>
      </c>
      <c r="C1849" t="s">
        <v>99</v>
      </c>
      <c r="D1849" t="s">
        <v>440</v>
      </c>
      <c r="E1849">
        <v>325</v>
      </c>
    </row>
    <row r="1850" spans="1:5" x14ac:dyDescent="0.25">
      <c r="A1850" s="10">
        <v>44427</v>
      </c>
      <c r="B1850">
        <v>304883</v>
      </c>
      <c r="C1850" t="s">
        <v>272</v>
      </c>
      <c r="D1850" t="s">
        <v>441</v>
      </c>
      <c r="E1850">
        <v>329</v>
      </c>
    </row>
    <row r="1851" spans="1:5" x14ac:dyDescent="0.25">
      <c r="A1851" s="10">
        <v>44427</v>
      </c>
      <c r="B1851">
        <v>304883</v>
      </c>
      <c r="C1851">
        <v>99443</v>
      </c>
      <c r="D1851" t="s">
        <v>442</v>
      </c>
      <c r="E1851">
        <v>333</v>
      </c>
    </row>
    <row r="1852" spans="1:5" x14ac:dyDescent="0.25">
      <c r="A1852" s="10">
        <v>44427</v>
      </c>
      <c r="B1852">
        <v>304883</v>
      </c>
      <c r="C1852" t="s">
        <v>309</v>
      </c>
      <c r="D1852" t="s">
        <v>443</v>
      </c>
      <c r="E1852">
        <v>337</v>
      </c>
    </row>
    <row r="1853" spans="1:5" x14ac:dyDescent="0.25">
      <c r="A1853" s="10">
        <v>44427</v>
      </c>
      <c r="B1853">
        <v>304883</v>
      </c>
      <c r="C1853">
        <v>432598</v>
      </c>
      <c r="D1853" t="s">
        <v>444</v>
      </c>
      <c r="E1853">
        <v>341</v>
      </c>
    </row>
    <row r="1854" spans="1:5" x14ac:dyDescent="0.25">
      <c r="A1854" s="10">
        <v>44427</v>
      </c>
      <c r="B1854">
        <v>304885</v>
      </c>
      <c r="C1854">
        <v>321367</v>
      </c>
      <c r="D1854" t="s">
        <v>445</v>
      </c>
      <c r="E1854">
        <v>345</v>
      </c>
    </row>
    <row r="1855" spans="1:5" x14ac:dyDescent="0.25">
      <c r="A1855" s="10">
        <v>44427</v>
      </c>
      <c r="B1855">
        <v>304885</v>
      </c>
      <c r="C1855">
        <v>87377</v>
      </c>
      <c r="D1855" t="s">
        <v>446</v>
      </c>
      <c r="E1855">
        <v>349</v>
      </c>
    </row>
    <row r="1856" spans="1:5" x14ac:dyDescent="0.25">
      <c r="A1856" s="10">
        <v>44427</v>
      </c>
      <c r="B1856">
        <v>304885</v>
      </c>
      <c r="C1856">
        <v>87376</v>
      </c>
      <c r="D1856" t="s">
        <v>447</v>
      </c>
      <c r="E1856">
        <v>353</v>
      </c>
    </row>
    <row r="1857" spans="1:5" x14ac:dyDescent="0.25">
      <c r="A1857" s="10">
        <v>44427</v>
      </c>
      <c r="B1857">
        <v>304885</v>
      </c>
      <c r="C1857">
        <v>320665</v>
      </c>
      <c r="D1857" t="s">
        <v>448</v>
      </c>
      <c r="E1857">
        <v>357</v>
      </c>
    </row>
    <row r="1858" spans="1:5" x14ac:dyDescent="0.25">
      <c r="A1858" s="10">
        <v>44427</v>
      </c>
      <c r="B1858">
        <v>304881</v>
      </c>
      <c r="C1858">
        <v>461886</v>
      </c>
      <c r="D1858" t="s">
        <v>449</v>
      </c>
      <c r="E1858">
        <v>361</v>
      </c>
    </row>
    <row r="1859" spans="1:5" x14ac:dyDescent="0.25">
      <c r="A1859" s="10">
        <v>44427</v>
      </c>
      <c r="B1859">
        <v>304881</v>
      </c>
      <c r="C1859">
        <v>320763</v>
      </c>
      <c r="D1859" t="s">
        <v>450</v>
      </c>
      <c r="E1859">
        <v>365</v>
      </c>
    </row>
    <row r="1860" spans="1:5" x14ac:dyDescent="0.25">
      <c r="A1860" s="10">
        <v>44427</v>
      </c>
      <c r="B1860">
        <v>304881</v>
      </c>
      <c r="C1860" t="s">
        <v>356</v>
      </c>
      <c r="D1860" t="s">
        <v>451</v>
      </c>
      <c r="E1860">
        <v>369</v>
      </c>
    </row>
    <row r="1861" spans="1:5" x14ac:dyDescent="0.25">
      <c r="A1861" s="10">
        <v>44427</v>
      </c>
      <c r="B1861">
        <v>304887</v>
      </c>
      <c r="C1861">
        <v>203589</v>
      </c>
      <c r="D1861" t="s">
        <v>452</v>
      </c>
      <c r="E1861">
        <v>420</v>
      </c>
    </row>
    <row r="1862" spans="1:5" x14ac:dyDescent="0.25">
      <c r="A1862" s="10">
        <v>44427</v>
      </c>
      <c r="B1862">
        <v>304883</v>
      </c>
      <c r="C1862" t="s">
        <v>357</v>
      </c>
      <c r="D1862" t="s">
        <v>453</v>
      </c>
      <c r="E1862">
        <v>436</v>
      </c>
    </row>
    <row r="1863" spans="1:5" x14ac:dyDescent="0.25">
      <c r="A1863" s="10">
        <v>44427</v>
      </c>
      <c r="B1863">
        <v>304988</v>
      </c>
      <c r="C1863" t="s">
        <v>248</v>
      </c>
      <c r="D1863" t="s">
        <v>454</v>
      </c>
      <c r="E1863">
        <v>440</v>
      </c>
    </row>
    <row r="1864" spans="1:5" x14ac:dyDescent="0.25">
      <c r="A1864" s="10">
        <v>44427</v>
      </c>
      <c r="B1864">
        <v>304887</v>
      </c>
      <c r="C1864" t="s">
        <v>114</v>
      </c>
      <c r="D1864" t="s">
        <v>455</v>
      </c>
      <c r="E1864">
        <v>468</v>
      </c>
    </row>
    <row r="1865" spans="1:5" x14ac:dyDescent="0.25">
      <c r="A1865" s="10">
        <v>44427</v>
      </c>
      <c r="B1865">
        <v>304887</v>
      </c>
      <c r="C1865" t="s">
        <v>297</v>
      </c>
      <c r="D1865" t="s">
        <v>456</v>
      </c>
      <c r="E1865">
        <v>470</v>
      </c>
    </row>
    <row r="1866" spans="1:5" x14ac:dyDescent="0.25">
      <c r="A1866" s="10">
        <v>44427</v>
      </c>
      <c r="B1866">
        <v>304884</v>
      </c>
      <c r="C1866">
        <v>305177</v>
      </c>
      <c r="D1866" t="s">
        <v>457</v>
      </c>
      <c r="E1866">
        <v>419</v>
      </c>
    </row>
    <row r="1867" spans="1:5" x14ac:dyDescent="0.25">
      <c r="A1867" s="10">
        <v>44427</v>
      </c>
      <c r="B1867">
        <v>304886</v>
      </c>
      <c r="C1867">
        <v>14958</v>
      </c>
      <c r="D1867" t="s">
        <v>458</v>
      </c>
      <c r="E1867">
        <v>421</v>
      </c>
    </row>
    <row r="1868" spans="1:5" x14ac:dyDescent="0.25">
      <c r="A1868" s="10">
        <v>44427</v>
      </c>
      <c r="B1868">
        <v>304881</v>
      </c>
      <c r="C1868" t="s">
        <v>115</v>
      </c>
      <c r="D1868" t="s">
        <v>459</v>
      </c>
      <c r="E1868">
        <v>423</v>
      </c>
    </row>
    <row r="1869" spans="1:5" x14ac:dyDescent="0.25">
      <c r="A1869" s="10">
        <v>44427</v>
      </c>
      <c r="B1869">
        <v>304883</v>
      </c>
      <c r="C1869" t="s">
        <v>358</v>
      </c>
      <c r="D1869" t="s">
        <v>460</v>
      </c>
      <c r="E1869">
        <v>425</v>
      </c>
    </row>
    <row r="1870" spans="1:5" x14ac:dyDescent="0.25">
      <c r="A1870" s="10">
        <v>44427</v>
      </c>
      <c r="B1870">
        <v>304884</v>
      </c>
      <c r="C1870" t="s">
        <v>101</v>
      </c>
      <c r="D1870" t="s">
        <v>461</v>
      </c>
      <c r="E1870">
        <v>520</v>
      </c>
    </row>
    <row r="1871" spans="1:5" x14ac:dyDescent="0.25">
      <c r="A1871" s="10">
        <v>44427</v>
      </c>
      <c r="B1871">
        <v>304884</v>
      </c>
      <c r="C1871" t="s">
        <v>102</v>
      </c>
      <c r="D1871" t="s">
        <v>462</v>
      </c>
      <c r="E1871">
        <v>522</v>
      </c>
    </row>
    <row r="1872" spans="1:5" x14ac:dyDescent="0.25">
      <c r="A1872" s="10">
        <v>44427</v>
      </c>
      <c r="B1872">
        <v>304884</v>
      </c>
      <c r="C1872">
        <v>524524</v>
      </c>
      <c r="D1872" t="s">
        <v>463</v>
      </c>
      <c r="E1872">
        <v>524</v>
      </c>
    </row>
    <row r="1873" spans="1:5" x14ac:dyDescent="0.25">
      <c r="A1873" s="10">
        <v>44427</v>
      </c>
      <c r="B1873">
        <v>304884</v>
      </c>
      <c r="C1873" t="s">
        <v>136</v>
      </c>
      <c r="D1873" t="s">
        <v>464</v>
      </c>
      <c r="E1873">
        <v>526</v>
      </c>
    </row>
    <row r="1874" spans="1:5" x14ac:dyDescent="0.25">
      <c r="A1874" s="10">
        <v>44427</v>
      </c>
      <c r="B1874">
        <v>304884</v>
      </c>
      <c r="C1874" t="s">
        <v>136</v>
      </c>
      <c r="D1874" t="s">
        <v>465</v>
      </c>
      <c r="E1874">
        <v>526</v>
      </c>
    </row>
    <row r="1875" spans="1:5" x14ac:dyDescent="0.25">
      <c r="A1875" s="10">
        <v>44427</v>
      </c>
      <c r="B1875">
        <v>304884</v>
      </c>
      <c r="C1875" t="s">
        <v>136</v>
      </c>
      <c r="D1875" t="s">
        <v>466</v>
      </c>
      <c r="E1875">
        <v>526</v>
      </c>
    </row>
    <row r="1876" spans="1:5" x14ac:dyDescent="0.25">
      <c r="A1876" s="10">
        <v>44427</v>
      </c>
      <c r="B1876">
        <v>304884</v>
      </c>
      <c r="C1876" t="s">
        <v>136</v>
      </c>
      <c r="D1876" t="s">
        <v>467</v>
      </c>
      <c r="E1876">
        <v>526</v>
      </c>
    </row>
    <row r="1877" spans="1:5" x14ac:dyDescent="0.25">
      <c r="A1877" s="10">
        <v>44427</v>
      </c>
      <c r="B1877">
        <v>304887</v>
      </c>
      <c r="C1877" t="s">
        <v>183</v>
      </c>
      <c r="D1877" t="s">
        <v>468</v>
      </c>
      <c r="E1877">
        <v>530</v>
      </c>
    </row>
    <row r="1878" spans="1:5" x14ac:dyDescent="0.25">
      <c r="A1878" s="10">
        <v>44427</v>
      </c>
      <c r="B1878">
        <v>304881</v>
      </c>
      <c r="C1878" t="s">
        <v>104</v>
      </c>
      <c r="D1878" t="s">
        <v>469</v>
      </c>
      <c r="E1878">
        <v>532</v>
      </c>
    </row>
    <row r="1879" spans="1:5" x14ac:dyDescent="0.25">
      <c r="A1879" s="10">
        <v>44427</v>
      </c>
      <c r="B1879">
        <v>304881</v>
      </c>
      <c r="C1879" t="s">
        <v>105</v>
      </c>
      <c r="D1879" t="s">
        <v>470</v>
      </c>
      <c r="E1879">
        <v>538</v>
      </c>
    </row>
    <row r="1880" spans="1:5" x14ac:dyDescent="0.25">
      <c r="A1880" s="10">
        <v>44427</v>
      </c>
      <c r="B1880">
        <v>304887</v>
      </c>
      <c r="C1880" t="s">
        <v>359</v>
      </c>
      <c r="D1880" t="s">
        <v>471</v>
      </c>
      <c r="E1880">
        <v>542</v>
      </c>
    </row>
    <row r="1881" spans="1:5" x14ac:dyDescent="0.25">
      <c r="A1881" s="10">
        <v>44427</v>
      </c>
      <c r="B1881">
        <v>304886</v>
      </c>
      <c r="C1881" t="s">
        <v>106</v>
      </c>
      <c r="D1881" t="s">
        <v>472</v>
      </c>
      <c r="E1881">
        <v>616</v>
      </c>
    </row>
    <row r="1882" spans="1:5" x14ac:dyDescent="0.25">
      <c r="A1882" s="10">
        <v>44427</v>
      </c>
      <c r="B1882">
        <v>304914</v>
      </c>
      <c r="C1882" t="s">
        <v>116</v>
      </c>
      <c r="D1882" t="s">
        <v>473</v>
      </c>
      <c r="E1882">
        <v>638</v>
      </c>
    </row>
    <row r="1883" spans="1:5" x14ac:dyDescent="0.25">
      <c r="A1883" s="10">
        <v>44427</v>
      </c>
      <c r="B1883">
        <v>304914</v>
      </c>
      <c r="C1883" t="s">
        <v>107</v>
      </c>
      <c r="D1883" t="s">
        <v>474</v>
      </c>
      <c r="E1883">
        <v>640</v>
      </c>
    </row>
    <row r="1884" spans="1:5" x14ac:dyDescent="0.25">
      <c r="A1884" s="10">
        <v>44427</v>
      </c>
      <c r="B1884">
        <v>304885</v>
      </c>
      <c r="C1884" t="s">
        <v>360</v>
      </c>
      <c r="D1884" t="s">
        <v>475</v>
      </c>
      <c r="E1884">
        <v>642</v>
      </c>
    </row>
    <row r="1885" spans="1:5" x14ac:dyDescent="0.25">
      <c r="A1885" s="10">
        <v>44427</v>
      </c>
      <c r="B1885">
        <v>304886</v>
      </c>
      <c r="C1885" t="s">
        <v>109</v>
      </c>
      <c r="D1885" t="s">
        <v>476</v>
      </c>
      <c r="E1885">
        <v>654</v>
      </c>
    </row>
    <row r="1886" spans="1:5" x14ac:dyDescent="0.25">
      <c r="A1886" s="10">
        <v>44427</v>
      </c>
      <c r="B1886">
        <v>304886</v>
      </c>
      <c r="C1886" t="s">
        <v>121</v>
      </c>
      <c r="D1886" t="s">
        <v>477</v>
      </c>
      <c r="E1886">
        <v>656</v>
      </c>
    </row>
    <row r="1887" spans="1:5" x14ac:dyDescent="0.25">
      <c r="A1887" s="10">
        <v>44427</v>
      </c>
      <c r="B1887">
        <v>304886</v>
      </c>
      <c r="C1887" t="s">
        <v>117</v>
      </c>
      <c r="D1887" t="s">
        <v>478</v>
      </c>
      <c r="E1887">
        <v>660</v>
      </c>
    </row>
    <row r="1888" spans="1:5" x14ac:dyDescent="0.25">
      <c r="A1888" s="10">
        <v>44427</v>
      </c>
      <c r="B1888">
        <v>304886</v>
      </c>
      <c r="C1888" t="s">
        <v>314</v>
      </c>
      <c r="D1888" t="s">
        <v>479</v>
      </c>
      <c r="E1888">
        <v>668</v>
      </c>
    </row>
    <row r="1889" spans="1:5" x14ac:dyDescent="0.25">
      <c r="A1889" s="10">
        <v>44427</v>
      </c>
      <c r="B1889">
        <v>304988</v>
      </c>
      <c r="C1889">
        <v>24223</v>
      </c>
      <c r="D1889" t="s">
        <v>480</v>
      </c>
      <c r="E1889">
        <v>672</v>
      </c>
    </row>
    <row r="1890" spans="1:5" x14ac:dyDescent="0.25">
      <c r="A1890" s="10">
        <v>44427</v>
      </c>
      <c r="B1890">
        <v>304886</v>
      </c>
      <c r="C1890">
        <v>87511</v>
      </c>
      <c r="D1890" t="s">
        <v>481</v>
      </c>
      <c r="E1890">
        <v>615</v>
      </c>
    </row>
    <row r="1891" spans="1:5" x14ac:dyDescent="0.25">
      <c r="A1891" s="10">
        <v>44427</v>
      </c>
      <c r="B1891">
        <v>304914</v>
      </c>
      <c r="C1891">
        <v>421736</v>
      </c>
      <c r="D1891" t="s">
        <v>482</v>
      </c>
      <c r="E1891">
        <v>617</v>
      </c>
    </row>
    <row r="1892" spans="1:5" x14ac:dyDescent="0.25">
      <c r="A1892" s="10">
        <v>44427</v>
      </c>
      <c r="B1892">
        <v>304881</v>
      </c>
      <c r="C1892">
        <v>318602</v>
      </c>
      <c r="D1892" t="s">
        <v>483</v>
      </c>
      <c r="E1892">
        <v>655</v>
      </c>
    </row>
    <row r="1893" spans="1:5" x14ac:dyDescent="0.25">
      <c r="A1893" s="10">
        <v>44427</v>
      </c>
      <c r="B1893">
        <v>304883</v>
      </c>
      <c r="C1893">
        <v>864656</v>
      </c>
      <c r="D1893" t="s">
        <v>484</v>
      </c>
      <c r="E1893">
        <v>801</v>
      </c>
    </row>
    <row r="1894" spans="1:5" x14ac:dyDescent="0.25">
      <c r="A1894" s="10">
        <v>44428</v>
      </c>
      <c r="B1894">
        <v>304988</v>
      </c>
      <c r="C1894">
        <v>432600</v>
      </c>
      <c r="D1894" t="s">
        <v>485</v>
      </c>
      <c r="E1894">
        <v>124</v>
      </c>
    </row>
    <row r="1895" spans="1:5" x14ac:dyDescent="0.25">
      <c r="A1895" s="10">
        <v>44428</v>
      </c>
      <c r="B1895">
        <v>304988</v>
      </c>
      <c r="C1895">
        <v>432595</v>
      </c>
      <c r="D1895" t="s">
        <v>486</v>
      </c>
      <c r="E1895">
        <v>128</v>
      </c>
    </row>
    <row r="1896" spans="1:5" x14ac:dyDescent="0.25">
      <c r="A1896" s="10">
        <v>44428</v>
      </c>
      <c r="B1896">
        <v>304886</v>
      </c>
      <c r="C1896" t="s">
        <v>362</v>
      </c>
      <c r="D1896" t="s">
        <v>487</v>
      </c>
      <c r="E1896">
        <v>132</v>
      </c>
    </row>
    <row r="1897" spans="1:5" x14ac:dyDescent="0.25">
      <c r="A1897" s="10">
        <v>44428</v>
      </c>
      <c r="B1897">
        <v>304988</v>
      </c>
      <c r="C1897">
        <v>84334</v>
      </c>
      <c r="D1897" t="s">
        <v>488</v>
      </c>
      <c r="E1897">
        <v>136</v>
      </c>
    </row>
    <row r="1898" spans="1:5" x14ac:dyDescent="0.25">
      <c r="A1898" s="10">
        <v>44428</v>
      </c>
      <c r="B1898">
        <v>304988</v>
      </c>
      <c r="C1898">
        <v>463875</v>
      </c>
      <c r="D1898" t="s">
        <v>489</v>
      </c>
      <c r="E1898">
        <v>140</v>
      </c>
    </row>
    <row r="1899" spans="1:5" x14ac:dyDescent="0.25">
      <c r="A1899" s="10">
        <v>44428</v>
      </c>
      <c r="B1899">
        <v>304887</v>
      </c>
      <c r="C1899">
        <v>326234</v>
      </c>
      <c r="D1899" t="s">
        <v>490</v>
      </c>
      <c r="E1899">
        <v>144</v>
      </c>
    </row>
    <row r="1900" spans="1:5" x14ac:dyDescent="0.25">
      <c r="A1900" s="10">
        <v>44428</v>
      </c>
      <c r="B1900">
        <v>304882</v>
      </c>
      <c r="C1900">
        <v>317397</v>
      </c>
      <c r="D1900" t="s">
        <v>491</v>
      </c>
      <c r="E1900">
        <v>148</v>
      </c>
    </row>
    <row r="1901" spans="1:5" x14ac:dyDescent="0.25">
      <c r="A1901" s="10">
        <v>44428</v>
      </c>
      <c r="B1901">
        <v>304887</v>
      </c>
      <c r="C1901">
        <v>411264</v>
      </c>
      <c r="D1901" t="s">
        <v>492</v>
      </c>
      <c r="E1901">
        <v>152</v>
      </c>
    </row>
    <row r="1902" spans="1:5" x14ac:dyDescent="0.25">
      <c r="A1902" s="10">
        <v>44428</v>
      </c>
      <c r="B1902">
        <v>304887</v>
      </c>
      <c r="C1902">
        <v>420522</v>
      </c>
      <c r="D1902" t="s">
        <v>493</v>
      </c>
      <c r="E1902">
        <v>156</v>
      </c>
    </row>
    <row r="1903" spans="1:5" x14ac:dyDescent="0.25">
      <c r="A1903" s="10">
        <v>44428</v>
      </c>
      <c r="B1903">
        <v>304887</v>
      </c>
      <c r="C1903">
        <v>431154</v>
      </c>
      <c r="D1903" t="s">
        <v>494</v>
      </c>
      <c r="E1903">
        <v>160</v>
      </c>
    </row>
    <row r="1904" spans="1:5" x14ac:dyDescent="0.25">
      <c r="A1904" s="10">
        <v>44428</v>
      </c>
      <c r="B1904">
        <v>304887</v>
      </c>
      <c r="C1904" t="s">
        <v>128</v>
      </c>
      <c r="D1904" t="s">
        <v>495</v>
      </c>
      <c r="E1904">
        <v>162</v>
      </c>
    </row>
    <row r="1905" spans="1:5" x14ac:dyDescent="0.25">
      <c r="A1905" s="10">
        <v>44428</v>
      </c>
      <c r="B1905">
        <v>304887</v>
      </c>
      <c r="C1905" t="s">
        <v>110</v>
      </c>
      <c r="D1905" t="s">
        <v>496</v>
      </c>
      <c r="E1905">
        <v>164</v>
      </c>
    </row>
    <row r="1906" spans="1:5" x14ac:dyDescent="0.25">
      <c r="A1906" s="10">
        <v>44428</v>
      </c>
      <c r="B1906">
        <v>304887</v>
      </c>
      <c r="C1906">
        <v>310852</v>
      </c>
      <c r="D1906" t="s">
        <v>497</v>
      </c>
      <c r="E1906">
        <v>117</v>
      </c>
    </row>
    <row r="1907" spans="1:5" x14ac:dyDescent="0.25">
      <c r="A1907" s="10">
        <v>44428</v>
      </c>
      <c r="B1907">
        <v>304881</v>
      </c>
      <c r="C1907">
        <v>434748</v>
      </c>
      <c r="D1907" t="s">
        <v>498</v>
      </c>
      <c r="E1907">
        <v>121</v>
      </c>
    </row>
    <row r="1908" spans="1:5" x14ac:dyDescent="0.25">
      <c r="A1908" s="10">
        <v>44428</v>
      </c>
      <c r="B1908">
        <v>304881</v>
      </c>
      <c r="C1908">
        <v>424959</v>
      </c>
      <c r="D1908" t="s">
        <v>499</v>
      </c>
      <c r="E1908">
        <v>125</v>
      </c>
    </row>
    <row r="1909" spans="1:5" x14ac:dyDescent="0.25">
      <c r="A1909" s="10">
        <v>44428</v>
      </c>
      <c r="B1909">
        <v>304887</v>
      </c>
      <c r="C1909">
        <v>417342</v>
      </c>
      <c r="D1909" t="s">
        <v>500</v>
      </c>
      <c r="E1909">
        <v>129</v>
      </c>
    </row>
    <row r="1910" spans="1:5" x14ac:dyDescent="0.25">
      <c r="A1910" s="10">
        <v>44428</v>
      </c>
      <c r="B1910">
        <v>304882</v>
      </c>
      <c r="C1910">
        <v>316421</v>
      </c>
      <c r="D1910" t="s">
        <v>501</v>
      </c>
      <c r="E1910">
        <v>133</v>
      </c>
    </row>
    <row r="1911" spans="1:5" x14ac:dyDescent="0.25">
      <c r="A1911" s="10">
        <v>44428</v>
      </c>
      <c r="B1911">
        <v>304881</v>
      </c>
      <c r="C1911">
        <v>404394</v>
      </c>
      <c r="D1911" t="s">
        <v>502</v>
      </c>
      <c r="E1911">
        <v>137</v>
      </c>
    </row>
    <row r="1912" spans="1:5" x14ac:dyDescent="0.25">
      <c r="A1912" s="10">
        <v>44428</v>
      </c>
      <c r="B1912">
        <v>304887</v>
      </c>
      <c r="C1912">
        <v>409256</v>
      </c>
      <c r="D1912" t="s">
        <v>503</v>
      </c>
      <c r="E1912">
        <v>141</v>
      </c>
    </row>
    <row r="1913" spans="1:5" x14ac:dyDescent="0.25">
      <c r="A1913" s="10">
        <v>44428</v>
      </c>
      <c r="B1913">
        <v>304882</v>
      </c>
      <c r="C1913">
        <v>400398</v>
      </c>
      <c r="D1913" t="s">
        <v>504</v>
      </c>
      <c r="E1913">
        <v>145</v>
      </c>
    </row>
    <row r="1914" spans="1:5" x14ac:dyDescent="0.25">
      <c r="A1914" s="10">
        <v>44428</v>
      </c>
      <c r="B1914">
        <v>304887</v>
      </c>
      <c r="C1914">
        <v>404439</v>
      </c>
      <c r="D1914" t="s">
        <v>505</v>
      </c>
      <c r="E1914">
        <v>149</v>
      </c>
    </row>
    <row r="1915" spans="1:5" x14ac:dyDescent="0.25">
      <c r="A1915" s="10">
        <v>44428</v>
      </c>
      <c r="B1915">
        <v>304887</v>
      </c>
      <c r="C1915">
        <v>417490</v>
      </c>
      <c r="D1915" t="s">
        <v>506</v>
      </c>
      <c r="E1915">
        <v>153</v>
      </c>
    </row>
    <row r="1916" spans="1:5" x14ac:dyDescent="0.25">
      <c r="A1916" s="10">
        <v>44428</v>
      </c>
      <c r="B1916">
        <v>304887</v>
      </c>
      <c r="C1916">
        <v>87502</v>
      </c>
      <c r="D1916" t="s">
        <v>507</v>
      </c>
      <c r="E1916">
        <v>157</v>
      </c>
    </row>
    <row r="1917" spans="1:5" x14ac:dyDescent="0.25">
      <c r="A1917" s="10">
        <v>44428</v>
      </c>
      <c r="B1917">
        <v>304885</v>
      </c>
      <c r="C1917">
        <v>461696</v>
      </c>
      <c r="D1917" t="s">
        <v>508</v>
      </c>
      <c r="E1917">
        <v>161</v>
      </c>
    </row>
    <row r="1918" spans="1:5" x14ac:dyDescent="0.25">
      <c r="A1918" s="10">
        <v>44428</v>
      </c>
      <c r="B1918">
        <v>304882</v>
      </c>
      <c r="C1918">
        <v>320300</v>
      </c>
      <c r="D1918" t="s">
        <v>509</v>
      </c>
      <c r="E1918">
        <v>165</v>
      </c>
    </row>
    <row r="1919" spans="1:5" x14ac:dyDescent="0.25">
      <c r="A1919" s="10">
        <v>44428</v>
      </c>
      <c r="B1919">
        <v>304882</v>
      </c>
      <c r="C1919">
        <v>169169</v>
      </c>
      <c r="D1919" t="s">
        <v>510</v>
      </c>
      <c r="E1919">
        <v>169</v>
      </c>
    </row>
    <row r="1920" spans="1:5" x14ac:dyDescent="0.25">
      <c r="A1920" s="10">
        <v>44428</v>
      </c>
      <c r="B1920">
        <v>304914</v>
      </c>
      <c r="C1920">
        <v>425044</v>
      </c>
      <c r="D1920" t="s">
        <v>511</v>
      </c>
      <c r="E1920">
        <v>224</v>
      </c>
    </row>
    <row r="1921" spans="1:5" x14ac:dyDescent="0.25">
      <c r="A1921" s="10">
        <v>44428</v>
      </c>
      <c r="B1921">
        <v>304914</v>
      </c>
      <c r="C1921">
        <v>425045</v>
      </c>
      <c r="D1921" t="s">
        <v>512</v>
      </c>
      <c r="E1921">
        <v>228</v>
      </c>
    </row>
    <row r="1922" spans="1:5" x14ac:dyDescent="0.25">
      <c r="A1922" s="10">
        <v>44428</v>
      </c>
      <c r="B1922">
        <v>304914</v>
      </c>
      <c r="C1922" t="s">
        <v>92</v>
      </c>
      <c r="D1922" t="s">
        <v>513</v>
      </c>
      <c r="E1922">
        <v>232</v>
      </c>
    </row>
    <row r="1923" spans="1:5" x14ac:dyDescent="0.25">
      <c r="A1923" s="10">
        <v>44428</v>
      </c>
      <c r="B1923">
        <v>304914</v>
      </c>
      <c r="C1923">
        <v>421733</v>
      </c>
      <c r="D1923" t="s">
        <v>514</v>
      </c>
      <c r="E1923">
        <v>236</v>
      </c>
    </row>
    <row r="1924" spans="1:5" x14ac:dyDescent="0.25">
      <c r="A1924" s="10">
        <v>44428</v>
      </c>
      <c r="B1924">
        <v>304914</v>
      </c>
      <c r="C1924">
        <v>421730</v>
      </c>
      <c r="D1924" t="s">
        <v>515</v>
      </c>
      <c r="E1924">
        <v>240</v>
      </c>
    </row>
    <row r="1925" spans="1:5" x14ac:dyDescent="0.25">
      <c r="A1925" s="10">
        <v>44428</v>
      </c>
      <c r="B1925">
        <v>304914</v>
      </c>
      <c r="C1925">
        <v>425046</v>
      </c>
      <c r="D1925" t="s">
        <v>516</v>
      </c>
      <c r="E1925">
        <v>244</v>
      </c>
    </row>
    <row r="1926" spans="1:5" x14ac:dyDescent="0.25">
      <c r="A1926" s="10">
        <v>44428</v>
      </c>
      <c r="B1926">
        <v>304914</v>
      </c>
      <c r="C1926">
        <v>439935</v>
      </c>
      <c r="D1926" t="s">
        <v>517</v>
      </c>
      <c r="E1926">
        <v>248</v>
      </c>
    </row>
    <row r="1927" spans="1:5" x14ac:dyDescent="0.25">
      <c r="A1927" s="10">
        <v>44428</v>
      </c>
      <c r="B1927">
        <v>304914</v>
      </c>
      <c r="C1927" t="s">
        <v>93</v>
      </c>
      <c r="D1927" t="s">
        <v>518</v>
      </c>
      <c r="E1927">
        <v>252</v>
      </c>
    </row>
    <row r="1928" spans="1:5" x14ac:dyDescent="0.25">
      <c r="A1928" s="10">
        <v>44428</v>
      </c>
      <c r="B1928">
        <v>304885</v>
      </c>
      <c r="C1928">
        <v>412667</v>
      </c>
      <c r="D1928" t="s">
        <v>519</v>
      </c>
      <c r="E1928">
        <v>256</v>
      </c>
    </row>
    <row r="1929" spans="1:5" x14ac:dyDescent="0.25">
      <c r="A1929" s="10">
        <v>44428</v>
      </c>
      <c r="B1929">
        <v>304914</v>
      </c>
      <c r="C1929" t="s">
        <v>94</v>
      </c>
      <c r="D1929" t="s">
        <v>520</v>
      </c>
      <c r="E1929">
        <v>260</v>
      </c>
    </row>
    <row r="1930" spans="1:5" x14ac:dyDescent="0.25">
      <c r="A1930" s="10">
        <v>44428</v>
      </c>
      <c r="B1930">
        <v>304914</v>
      </c>
      <c r="C1930">
        <v>262262</v>
      </c>
      <c r="D1930" t="s">
        <v>521</v>
      </c>
      <c r="E1930">
        <v>262</v>
      </c>
    </row>
    <row r="1931" spans="1:5" x14ac:dyDescent="0.25">
      <c r="A1931" s="10">
        <v>44428</v>
      </c>
      <c r="B1931">
        <v>304914</v>
      </c>
      <c r="C1931" t="s">
        <v>130</v>
      </c>
      <c r="D1931" t="s">
        <v>522</v>
      </c>
      <c r="E1931">
        <v>264</v>
      </c>
    </row>
    <row r="1932" spans="1:5" x14ac:dyDescent="0.25">
      <c r="A1932" s="10">
        <v>44428</v>
      </c>
      <c r="B1932">
        <v>304914</v>
      </c>
      <c r="C1932">
        <v>266266</v>
      </c>
      <c r="D1932" t="s">
        <v>523</v>
      </c>
      <c r="E1932">
        <v>266</v>
      </c>
    </row>
    <row r="1933" spans="1:5" x14ac:dyDescent="0.25">
      <c r="A1933" s="10">
        <v>44428</v>
      </c>
      <c r="B1933">
        <v>304884</v>
      </c>
      <c r="C1933">
        <v>99450</v>
      </c>
      <c r="D1933" t="s">
        <v>524</v>
      </c>
      <c r="E1933">
        <v>221</v>
      </c>
    </row>
    <row r="1934" spans="1:5" x14ac:dyDescent="0.25">
      <c r="A1934" s="10">
        <v>44428</v>
      </c>
      <c r="B1934">
        <v>304884</v>
      </c>
      <c r="C1934">
        <v>403441</v>
      </c>
      <c r="D1934" t="s">
        <v>525</v>
      </c>
      <c r="E1934">
        <v>225</v>
      </c>
    </row>
    <row r="1935" spans="1:5" x14ac:dyDescent="0.25">
      <c r="A1935" s="10">
        <v>44428</v>
      </c>
      <c r="B1935">
        <v>304884</v>
      </c>
      <c r="C1935">
        <v>86159</v>
      </c>
      <c r="D1935" t="s">
        <v>526</v>
      </c>
      <c r="E1935">
        <v>229</v>
      </c>
    </row>
    <row r="1936" spans="1:5" x14ac:dyDescent="0.25">
      <c r="A1936" s="10">
        <v>44428</v>
      </c>
      <c r="B1936">
        <v>304988</v>
      </c>
      <c r="C1936">
        <v>303354</v>
      </c>
      <c r="D1936" t="s">
        <v>527</v>
      </c>
      <c r="E1936">
        <v>233</v>
      </c>
    </row>
    <row r="1937" spans="1:5" x14ac:dyDescent="0.25">
      <c r="A1937" s="10">
        <v>44428</v>
      </c>
      <c r="B1937">
        <v>304988</v>
      </c>
      <c r="C1937" t="s">
        <v>354</v>
      </c>
      <c r="D1937" t="s">
        <v>528</v>
      </c>
      <c r="E1937">
        <v>237</v>
      </c>
    </row>
    <row r="1938" spans="1:5" x14ac:dyDescent="0.25">
      <c r="A1938" s="10">
        <v>44428</v>
      </c>
      <c r="B1938">
        <v>304884</v>
      </c>
      <c r="C1938">
        <v>423185</v>
      </c>
      <c r="D1938" t="s">
        <v>529</v>
      </c>
      <c r="E1938">
        <v>241</v>
      </c>
    </row>
    <row r="1939" spans="1:5" x14ac:dyDescent="0.25">
      <c r="A1939" s="10">
        <v>44428</v>
      </c>
      <c r="B1939">
        <v>304882</v>
      </c>
      <c r="C1939">
        <v>72736</v>
      </c>
      <c r="D1939" t="s">
        <v>530</v>
      </c>
      <c r="E1939">
        <v>245</v>
      </c>
    </row>
    <row r="1940" spans="1:5" x14ac:dyDescent="0.25">
      <c r="A1940" s="10">
        <v>44428</v>
      </c>
      <c r="B1940">
        <v>304884</v>
      </c>
      <c r="C1940">
        <v>314246</v>
      </c>
      <c r="D1940" t="s">
        <v>531</v>
      </c>
      <c r="E1940">
        <v>249</v>
      </c>
    </row>
    <row r="1941" spans="1:5" x14ac:dyDescent="0.25">
      <c r="A1941" s="10">
        <v>44428</v>
      </c>
      <c r="B1941">
        <v>304884</v>
      </c>
      <c r="C1941">
        <v>75182</v>
      </c>
      <c r="D1941" t="s">
        <v>532</v>
      </c>
      <c r="E1941">
        <v>253</v>
      </c>
    </row>
    <row r="1942" spans="1:5" x14ac:dyDescent="0.25">
      <c r="A1942" s="10">
        <v>44428</v>
      </c>
      <c r="B1942">
        <v>304884</v>
      </c>
      <c r="C1942">
        <v>412800</v>
      </c>
      <c r="D1942" t="s">
        <v>533</v>
      </c>
      <c r="E1942">
        <v>257</v>
      </c>
    </row>
    <row r="1943" spans="1:5" x14ac:dyDescent="0.25">
      <c r="A1943" s="10">
        <v>44428</v>
      </c>
      <c r="B1943">
        <v>304884</v>
      </c>
      <c r="C1943">
        <v>328267</v>
      </c>
      <c r="D1943" t="s">
        <v>534</v>
      </c>
      <c r="E1943">
        <v>261</v>
      </c>
    </row>
    <row r="1944" spans="1:5" x14ac:dyDescent="0.25">
      <c r="A1944" s="10">
        <v>44428</v>
      </c>
      <c r="B1944">
        <v>304882</v>
      </c>
      <c r="C1944">
        <v>317398</v>
      </c>
      <c r="D1944" t="s">
        <v>535</v>
      </c>
      <c r="E1944">
        <v>265</v>
      </c>
    </row>
    <row r="1945" spans="1:5" x14ac:dyDescent="0.25">
      <c r="A1945" s="10">
        <v>44428</v>
      </c>
      <c r="B1945">
        <v>304883</v>
      </c>
      <c r="C1945">
        <v>404328</v>
      </c>
      <c r="D1945" t="s">
        <v>536</v>
      </c>
      <c r="E1945">
        <v>324</v>
      </c>
    </row>
    <row r="1946" spans="1:5" x14ac:dyDescent="0.25">
      <c r="A1946" s="10">
        <v>44428</v>
      </c>
      <c r="B1946">
        <v>304885</v>
      </c>
      <c r="C1946">
        <v>314162</v>
      </c>
      <c r="D1946" t="s">
        <v>537</v>
      </c>
      <c r="E1946">
        <v>328</v>
      </c>
    </row>
    <row r="1947" spans="1:5" x14ac:dyDescent="0.25">
      <c r="A1947" s="10">
        <v>44428</v>
      </c>
      <c r="B1947">
        <v>304883</v>
      </c>
      <c r="C1947" t="s">
        <v>145</v>
      </c>
      <c r="D1947" t="s">
        <v>538</v>
      </c>
      <c r="E1947">
        <v>332</v>
      </c>
    </row>
    <row r="1948" spans="1:5" x14ac:dyDescent="0.25">
      <c r="A1948" s="10">
        <v>44428</v>
      </c>
      <c r="B1948">
        <v>304885</v>
      </c>
      <c r="C1948">
        <v>87750</v>
      </c>
      <c r="D1948" t="s">
        <v>539</v>
      </c>
      <c r="E1948">
        <v>336</v>
      </c>
    </row>
    <row r="1949" spans="1:5" x14ac:dyDescent="0.25">
      <c r="A1949" s="10">
        <v>44428</v>
      </c>
      <c r="B1949">
        <v>304886</v>
      </c>
      <c r="C1949">
        <v>405337</v>
      </c>
      <c r="D1949" t="s">
        <v>540</v>
      </c>
      <c r="E1949">
        <v>340</v>
      </c>
    </row>
    <row r="1950" spans="1:5" x14ac:dyDescent="0.25">
      <c r="A1950" s="10">
        <v>44428</v>
      </c>
      <c r="B1950">
        <v>304881</v>
      </c>
      <c r="C1950">
        <v>461887</v>
      </c>
      <c r="D1950" t="s">
        <v>541</v>
      </c>
      <c r="E1950">
        <v>344</v>
      </c>
    </row>
    <row r="1951" spans="1:5" x14ac:dyDescent="0.25">
      <c r="A1951" s="10">
        <v>44428</v>
      </c>
      <c r="B1951">
        <v>304881</v>
      </c>
      <c r="C1951">
        <v>415600</v>
      </c>
      <c r="D1951" t="s">
        <v>542</v>
      </c>
      <c r="E1951">
        <v>348</v>
      </c>
    </row>
    <row r="1952" spans="1:5" x14ac:dyDescent="0.25">
      <c r="A1952" s="10">
        <v>44428</v>
      </c>
      <c r="B1952">
        <v>304881</v>
      </c>
      <c r="C1952">
        <v>461885</v>
      </c>
      <c r="D1952" t="s">
        <v>543</v>
      </c>
      <c r="E1952">
        <v>352</v>
      </c>
    </row>
    <row r="1953" spans="1:5" x14ac:dyDescent="0.25">
      <c r="A1953" s="10">
        <v>44428</v>
      </c>
      <c r="B1953">
        <v>304881</v>
      </c>
      <c r="C1953">
        <v>434749</v>
      </c>
      <c r="D1953" t="s">
        <v>544</v>
      </c>
      <c r="E1953">
        <v>356</v>
      </c>
    </row>
    <row r="1954" spans="1:5" x14ac:dyDescent="0.25">
      <c r="A1954" s="10">
        <v>44428</v>
      </c>
      <c r="B1954">
        <v>304881</v>
      </c>
      <c r="C1954" t="s">
        <v>96</v>
      </c>
      <c r="D1954" t="s">
        <v>545</v>
      </c>
      <c r="E1954">
        <v>362</v>
      </c>
    </row>
    <row r="1955" spans="1:5" x14ac:dyDescent="0.25">
      <c r="A1955" s="10">
        <v>44428</v>
      </c>
      <c r="B1955">
        <v>304881</v>
      </c>
      <c r="C1955" t="s">
        <v>112</v>
      </c>
      <c r="D1955" t="s">
        <v>546</v>
      </c>
      <c r="E1955">
        <v>366</v>
      </c>
    </row>
    <row r="1956" spans="1:5" x14ac:dyDescent="0.25">
      <c r="A1956" s="10">
        <v>44428</v>
      </c>
      <c r="B1956">
        <v>304881</v>
      </c>
      <c r="C1956" t="s">
        <v>97</v>
      </c>
      <c r="D1956" t="s">
        <v>547</v>
      </c>
      <c r="E1956">
        <v>368</v>
      </c>
    </row>
    <row r="1957" spans="1:5" x14ac:dyDescent="0.25">
      <c r="A1957" s="10">
        <v>44428</v>
      </c>
      <c r="B1957">
        <v>304885</v>
      </c>
      <c r="C1957" t="s">
        <v>127</v>
      </c>
      <c r="D1957" t="s">
        <v>548</v>
      </c>
      <c r="E1957">
        <v>370</v>
      </c>
    </row>
    <row r="1958" spans="1:5" x14ac:dyDescent="0.25">
      <c r="A1958" s="10">
        <v>44428</v>
      </c>
      <c r="B1958">
        <v>304882</v>
      </c>
      <c r="C1958" t="s">
        <v>98</v>
      </c>
      <c r="D1958" t="s">
        <v>549</v>
      </c>
      <c r="E1958">
        <v>376</v>
      </c>
    </row>
    <row r="1959" spans="1:5" x14ac:dyDescent="0.25">
      <c r="A1959" s="10">
        <v>44428</v>
      </c>
      <c r="B1959">
        <v>304883</v>
      </c>
      <c r="C1959">
        <v>432597</v>
      </c>
      <c r="D1959" t="s">
        <v>550</v>
      </c>
      <c r="E1959">
        <v>321</v>
      </c>
    </row>
    <row r="1960" spans="1:5" x14ac:dyDescent="0.25">
      <c r="A1960" s="10">
        <v>44428</v>
      </c>
      <c r="B1960">
        <v>304883</v>
      </c>
      <c r="C1960" t="s">
        <v>99</v>
      </c>
      <c r="D1960" t="s">
        <v>551</v>
      </c>
      <c r="E1960">
        <v>325</v>
      </c>
    </row>
    <row r="1961" spans="1:5" x14ac:dyDescent="0.25">
      <c r="A1961" s="10">
        <v>44428</v>
      </c>
      <c r="B1961">
        <v>304883</v>
      </c>
      <c r="C1961" t="s">
        <v>363</v>
      </c>
      <c r="D1961" t="s">
        <v>552</v>
      </c>
      <c r="E1961">
        <v>329</v>
      </c>
    </row>
    <row r="1962" spans="1:5" x14ac:dyDescent="0.25">
      <c r="A1962" s="10">
        <v>44428</v>
      </c>
      <c r="B1962">
        <v>304883</v>
      </c>
      <c r="C1962">
        <v>99443</v>
      </c>
      <c r="D1962" t="s">
        <v>553</v>
      </c>
      <c r="E1962">
        <v>333</v>
      </c>
    </row>
    <row r="1963" spans="1:5" x14ac:dyDescent="0.25">
      <c r="A1963" s="10">
        <v>44428</v>
      </c>
      <c r="B1963">
        <v>304883</v>
      </c>
      <c r="C1963" t="s">
        <v>309</v>
      </c>
      <c r="D1963" t="s">
        <v>554</v>
      </c>
      <c r="E1963">
        <v>337</v>
      </c>
    </row>
    <row r="1964" spans="1:5" x14ac:dyDescent="0.25">
      <c r="A1964" s="10">
        <v>44428</v>
      </c>
      <c r="B1964">
        <v>304883</v>
      </c>
      <c r="C1964">
        <v>432598</v>
      </c>
      <c r="D1964" t="s">
        <v>555</v>
      </c>
      <c r="E1964">
        <v>341</v>
      </c>
    </row>
    <row r="1965" spans="1:5" x14ac:dyDescent="0.25">
      <c r="A1965" s="10">
        <v>44428</v>
      </c>
      <c r="B1965">
        <v>304885</v>
      </c>
      <c r="C1965" t="s">
        <v>364</v>
      </c>
      <c r="D1965" t="s">
        <v>556</v>
      </c>
      <c r="E1965">
        <v>345</v>
      </c>
    </row>
    <row r="1966" spans="1:5" x14ac:dyDescent="0.25">
      <c r="A1966" s="10">
        <v>44428</v>
      </c>
      <c r="B1966">
        <v>304885</v>
      </c>
      <c r="C1966">
        <v>414479</v>
      </c>
      <c r="D1966" t="s">
        <v>557</v>
      </c>
      <c r="E1966">
        <v>349</v>
      </c>
    </row>
    <row r="1967" spans="1:5" x14ac:dyDescent="0.25">
      <c r="A1967" s="10">
        <v>44428</v>
      </c>
      <c r="B1967">
        <v>304885</v>
      </c>
      <c r="C1967">
        <v>87376</v>
      </c>
      <c r="D1967" t="s">
        <v>558</v>
      </c>
      <c r="E1967">
        <v>353</v>
      </c>
    </row>
    <row r="1968" spans="1:5" x14ac:dyDescent="0.25">
      <c r="A1968" s="10">
        <v>44428</v>
      </c>
      <c r="B1968">
        <v>304885</v>
      </c>
      <c r="C1968">
        <v>320665</v>
      </c>
      <c r="D1968" t="s">
        <v>559</v>
      </c>
      <c r="E1968">
        <v>357</v>
      </c>
    </row>
    <row r="1969" spans="1:5" x14ac:dyDescent="0.25">
      <c r="A1969" s="10">
        <v>44428</v>
      </c>
      <c r="B1969">
        <v>304881</v>
      </c>
      <c r="C1969">
        <v>461886</v>
      </c>
      <c r="D1969" t="s">
        <v>560</v>
      </c>
      <c r="E1969">
        <v>361</v>
      </c>
    </row>
    <row r="1970" spans="1:5" x14ac:dyDescent="0.25">
      <c r="A1970" s="10">
        <v>44428</v>
      </c>
      <c r="B1970">
        <v>304881</v>
      </c>
      <c r="C1970">
        <v>320763</v>
      </c>
      <c r="D1970" t="s">
        <v>561</v>
      </c>
      <c r="E1970">
        <v>365</v>
      </c>
    </row>
    <row r="1971" spans="1:5" x14ac:dyDescent="0.25">
      <c r="A1971" s="10">
        <v>44428</v>
      </c>
      <c r="B1971">
        <v>304881</v>
      </c>
      <c r="C1971" t="s">
        <v>113</v>
      </c>
      <c r="D1971" t="s">
        <v>562</v>
      </c>
      <c r="E1971">
        <v>369</v>
      </c>
    </row>
    <row r="1972" spans="1:5" x14ac:dyDescent="0.25">
      <c r="A1972" s="10">
        <v>44428</v>
      </c>
      <c r="B1972">
        <v>304887</v>
      </c>
      <c r="C1972">
        <v>203589</v>
      </c>
      <c r="D1972" t="s">
        <v>563</v>
      </c>
      <c r="E1972">
        <v>420</v>
      </c>
    </row>
    <row r="1973" spans="1:5" x14ac:dyDescent="0.25">
      <c r="A1973" s="10">
        <v>44428</v>
      </c>
      <c r="B1973">
        <v>304883</v>
      </c>
      <c r="C1973" t="s">
        <v>365</v>
      </c>
      <c r="D1973" t="s">
        <v>564</v>
      </c>
      <c r="E1973">
        <v>436</v>
      </c>
    </row>
    <row r="1974" spans="1:5" x14ac:dyDescent="0.25">
      <c r="A1974" s="10">
        <v>44428</v>
      </c>
      <c r="B1974">
        <v>304988</v>
      </c>
      <c r="C1974" t="s">
        <v>248</v>
      </c>
      <c r="D1974" t="s">
        <v>565</v>
      </c>
      <c r="E1974">
        <v>440</v>
      </c>
    </row>
    <row r="1975" spans="1:5" x14ac:dyDescent="0.25">
      <c r="A1975" s="10">
        <v>44428</v>
      </c>
      <c r="B1975">
        <v>304881</v>
      </c>
      <c r="C1975">
        <v>464464</v>
      </c>
      <c r="D1975" t="s">
        <v>566</v>
      </c>
      <c r="E1975">
        <v>464</v>
      </c>
    </row>
    <row r="1976" spans="1:5" x14ac:dyDescent="0.25">
      <c r="A1976" s="10">
        <v>44428</v>
      </c>
      <c r="B1976">
        <v>304887</v>
      </c>
      <c r="C1976" t="s">
        <v>114</v>
      </c>
      <c r="D1976" t="s">
        <v>567</v>
      </c>
      <c r="E1976">
        <v>468</v>
      </c>
    </row>
    <row r="1977" spans="1:5" x14ac:dyDescent="0.25">
      <c r="A1977" s="10">
        <v>44428</v>
      </c>
      <c r="B1977">
        <v>304887</v>
      </c>
      <c r="C1977" t="s">
        <v>350</v>
      </c>
      <c r="D1977" t="s">
        <v>568</v>
      </c>
      <c r="E1977">
        <v>470</v>
      </c>
    </row>
    <row r="1978" spans="1:5" x14ac:dyDescent="0.25">
      <c r="A1978" s="10">
        <v>44428</v>
      </c>
      <c r="B1978">
        <v>304882</v>
      </c>
      <c r="C1978">
        <v>80260</v>
      </c>
      <c r="D1978" t="s">
        <v>569</v>
      </c>
      <c r="E1978">
        <v>472</v>
      </c>
    </row>
    <row r="1979" spans="1:5" x14ac:dyDescent="0.25">
      <c r="A1979" s="10">
        <v>44428</v>
      </c>
      <c r="B1979">
        <v>304887</v>
      </c>
      <c r="C1979" t="s">
        <v>216</v>
      </c>
      <c r="D1979" t="s">
        <v>570</v>
      </c>
      <c r="E1979">
        <v>476</v>
      </c>
    </row>
    <row r="1980" spans="1:5" x14ac:dyDescent="0.25">
      <c r="A1980" s="10">
        <v>44428</v>
      </c>
      <c r="B1980">
        <v>304887</v>
      </c>
      <c r="C1980">
        <v>478478</v>
      </c>
      <c r="D1980" t="s">
        <v>571</v>
      </c>
      <c r="E1980">
        <v>478</v>
      </c>
    </row>
    <row r="1981" spans="1:5" x14ac:dyDescent="0.25">
      <c r="A1981" s="10">
        <v>44428</v>
      </c>
      <c r="B1981">
        <v>304884</v>
      </c>
      <c r="C1981">
        <v>305177</v>
      </c>
      <c r="D1981" t="s">
        <v>572</v>
      </c>
      <c r="E1981">
        <v>419</v>
      </c>
    </row>
    <row r="1982" spans="1:5" x14ac:dyDescent="0.25">
      <c r="A1982" s="10">
        <v>44428</v>
      </c>
      <c r="B1982">
        <v>304886</v>
      </c>
      <c r="C1982">
        <v>14958</v>
      </c>
      <c r="D1982" t="s">
        <v>573</v>
      </c>
      <c r="E1982">
        <v>421</v>
      </c>
    </row>
    <row r="1983" spans="1:5" x14ac:dyDescent="0.25">
      <c r="A1983" s="10">
        <v>44428</v>
      </c>
      <c r="B1983">
        <v>304881</v>
      </c>
      <c r="C1983" t="s">
        <v>115</v>
      </c>
      <c r="D1983" t="s">
        <v>574</v>
      </c>
      <c r="E1983">
        <v>423</v>
      </c>
    </row>
    <row r="1984" spans="1:5" x14ac:dyDescent="0.25">
      <c r="A1984" s="10">
        <v>44428</v>
      </c>
      <c r="B1984">
        <v>304883</v>
      </c>
      <c r="C1984" t="s">
        <v>366</v>
      </c>
      <c r="D1984" t="s">
        <v>575</v>
      </c>
      <c r="E1984">
        <v>425</v>
      </c>
    </row>
    <row r="1985" spans="1:5" x14ac:dyDescent="0.25">
      <c r="A1985" s="10">
        <v>44428</v>
      </c>
      <c r="B1985">
        <v>304884</v>
      </c>
      <c r="C1985" t="s">
        <v>101</v>
      </c>
      <c r="D1985" t="s">
        <v>576</v>
      </c>
      <c r="E1985">
        <v>520</v>
      </c>
    </row>
    <row r="1986" spans="1:5" x14ac:dyDescent="0.25">
      <c r="A1986" s="10">
        <v>44428</v>
      </c>
      <c r="B1986">
        <v>304884</v>
      </c>
      <c r="C1986" t="s">
        <v>102</v>
      </c>
      <c r="D1986" t="s">
        <v>577</v>
      </c>
      <c r="E1986">
        <v>522</v>
      </c>
    </row>
    <row r="1987" spans="1:5" x14ac:dyDescent="0.25">
      <c r="A1987" s="10">
        <v>44428</v>
      </c>
      <c r="B1987">
        <v>304884</v>
      </c>
      <c r="C1987">
        <v>524524</v>
      </c>
      <c r="D1987" t="s">
        <v>578</v>
      </c>
      <c r="E1987">
        <v>524</v>
      </c>
    </row>
    <row r="1988" spans="1:5" x14ac:dyDescent="0.25">
      <c r="A1988" s="10">
        <v>44428</v>
      </c>
      <c r="B1988">
        <v>304884</v>
      </c>
      <c r="C1988" t="s">
        <v>136</v>
      </c>
      <c r="D1988" t="s">
        <v>579</v>
      </c>
      <c r="E1988">
        <v>526</v>
      </c>
    </row>
    <row r="1989" spans="1:5" x14ac:dyDescent="0.25">
      <c r="A1989" s="10">
        <v>44428</v>
      </c>
      <c r="B1989">
        <v>304887</v>
      </c>
      <c r="C1989" t="s">
        <v>329</v>
      </c>
      <c r="D1989" t="s">
        <v>580</v>
      </c>
      <c r="E1989">
        <v>530</v>
      </c>
    </row>
    <row r="1990" spans="1:5" x14ac:dyDescent="0.25">
      <c r="A1990" s="10">
        <v>44428</v>
      </c>
      <c r="B1990">
        <v>304881</v>
      </c>
      <c r="C1990" t="s">
        <v>104</v>
      </c>
      <c r="D1990" t="s">
        <v>581</v>
      </c>
      <c r="E1990">
        <v>532</v>
      </c>
    </row>
    <row r="1991" spans="1:5" x14ac:dyDescent="0.25">
      <c r="A1991" s="10">
        <v>44428</v>
      </c>
      <c r="B1991">
        <v>304881</v>
      </c>
      <c r="C1991" t="s">
        <v>105</v>
      </c>
      <c r="D1991" t="s">
        <v>582</v>
      </c>
      <c r="E1991">
        <v>538</v>
      </c>
    </row>
    <row r="1992" spans="1:5" x14ac:dyDescent="0.25">
      <c r="A1992" s="10">
        <v>44428</v>
      </c>
      <c r="B1992">
        <v>304886</v>
      </c>
      <c r="C1992" t="s">
        <v>106</v>
      </c>
      <c r="D1992" t="s">
        <v>583</v>
      </c>
      <c r="E1992">
        <v>616</v>
      </c>
    </row>
    <row r="1993" spans="1:5" x14ac:dyDescent="0.25">
      <c r="A1993" s="10">
        <v>44428</v>
      </c>
      <c r="B1993">
        <v>304914</v>
      </c>
      <c r="C1993" t="s">
        <v>116</v>
      </c>
      <c r="D1993" t="s">
        <v>584</v>
      </c>
      <c r="E1993">
        <v>638</v>
      </c>
    </row>
    <row r="1994" spans="1:5" x14ac:dyDescent="0.25">
      <c r="A1994" s="10">
        <v>44428</v>
      </c>
      <c r="B1994">
        <v>304914</v>
      </c>
      <c r="C1994" t="s">
        <v>107</v>
      </c>
      <c r="D1994" t="s">
        <v>585</v>
      </c>
      <c r="E1994">
        <v>640</v>
      </c>
    </row>
    <row r="1995" spans="1:5" x14ac:dyDescent="0.25">
      <c r="A1995" s="10">
        <v>44428</v>
      </c>
      <c r="B1995">
        <v>304885</v>
      </c>
      <c r="C1995" t="s">
        <v>367</v>
      </c>
      <c r="D1995" t="s">
        <v>586</v>
      </c>
      <c r="E1995">
        <v>642</v>
      </c>
    </row>
    <row r="1996" spans="1:5" x14ac:dyDescent="0.25">
      <c r="A1996" s="10">
        <v>44428</v>
      </c>
      <c r="B1996">
        <v>304886</v>
      </c>
      <c r="C1996" t="s">
        <v>109</v>
      </c>
      <c r="D1996" t="s">
        <v>587</v>
      </c>
      <c r="E1996">
        <v>654</v>
      </c>
    </row>
    <row r="1997" spans="1:5" x14ac:dyDescent="0.25">
      <c r="A1997" s="10">
        <v>44428</v>
      </c>
      <c r="B1997">
        <v>304886</v>
      </c>
      <c r="C1997" t="s">
        <v>121</v>
      </c>
      <c r="D1997" t="s">
        <v>588</v>
      </c>
      <c r="E1997">
        <v>656</v>
      </c>
    </row>
    <row r="1998" spans="1:5" x14ac:dyDescent="0.25">
      <c r="A1998" s="10">
        <v>44428</v>
      </c>
      <c r="B1998">
        <v>304886</v>
      </c>
      <c r="C1998" t="s">
        <v>117</v>
      </c>
      <c r="D1998" t="s">
        <v>589</v>
      </c>
      <c r="E1998">
        <v>660</v>
      </c>
    </row>
    <row r="1999" spans="1:5" x14ac:dyDescent="0.25">
      <c r="A1999" s="10">
        <v>44428</v>
      </c>
      <c r="B1999">
        <v>304886</v>
      </c>
      <c r="C1999" t="s">
        <v>368</v>
      </c>
      <c r="D1999" t="s">
        <v>590</v>
      </c>
      <c r="E1999">
        <v>668</v>
      </c>
    </row>
    <row r="2000" spans="1:5" x14ac:dyDescent="0.25">
      <c r="A2000" s="10">
        <v>44428</v>
      </c>
      <c r="B2000">
        <v>304988</v>
      </c>
      <c r="C2000">
        <v>242232</v>
      </c>
      <c r="D2000" t="s">
        <v>591</v>
      </c>
      <c r="E2000">
        <v>672</v>
      </c>
    </row>
    <row r="2001" spans="1:5" x14ac:dyDescent="0.25">
      <c r="A2001" s="10">
        <v>44428</v>
      </c>
      <c r="B2001">
        <v>304886</v>
      </c>
      <c r="C2001">
        <v>87511</v>
      </c>
      <c r="D2001" t="s">
        <v>592</v>
      </c>
      <c r="E2001">
        <v>615</v>
      </c>
    </row>
    <row r="2002" spans="1:5" x14ac:dyDescent="0.25">
      <c r="A2002" s="10">
        <v>44428</v>
      </c>
      <c r="B2002">
        <v>304914</v>
      </c>
      <c r="C2002">
        <v>421736</v>
      </c>
      <c r="D2002" t="s">
        <v>593</v>
      </c>
      <c r="E2002">
        <v>617</v>
      </c>
    </row>
    <row r="2003" spans="1:5" x14ac:dyDescent="0.25">
      <c r="A2003" s="10">
        <v>44428</v>
      </c>
      <c r="B2003">
        <v>304881</v>
      </c>
      <c r="C2003">
        <v>303810</v>
      </c>
      <c r="D2003" t="s">
        <v>594</v>
      </c>
      <c r="E2003">
        <v>655</v>
      </c>
    </row>
    <row r="2004" spans="1:5" x14ac:dyDescent="0.25">
      <c r="A2004" s="10">
        <v>44431</v>
      </c>
      <c r="B2004">
        <v>304988</v>
      </c>
      <c r="C2004">
        <v>432600</v>
      </c>
      <c r="D2004" t="s">
        <v>595</v>
      </c>
      <c r="E2004">
        <v>124</v>
      </c>
    </row>
    <row r="2005" spans="1:5" x14ac:dyDescent="0.25">
      <c r="A2005" s="10">
        <v>44431</v>
      </c>
      <c r="B2005">
        <v>304988</v>
      </c>
      <c r="C2005">
        <v>432595</v>
      </c>
      <c r="D2005" t="s">
        <v>596</v>
      </c>
      <c r="E2005">
        <v>128</v>
      </c>
    </row>
    <row r="2006" spans="1:5" x14ac:dyDescent="0.25">
      <c r="A2006" s="10">
        <v>44431</v>
      </c>
      <c r="B2006">
        <v>304886</v>
      </c>
      <c r="C2006" t="s">
        <v>373</v>
      </c>
      <c r="D2006" t="s">
        <v>597</v>
      </c>
      <c r="E2006">
        <v>132</v>
      </c>
    </row>
    <row r="2007" spans="1:5" x14ac:dyDescent="0.25">
      <c r="A2007" s="10">
        <v>44431</v>
      </c>
      <c r="B2007">
        <v>304988</v>
      </c>
      <c r="C2007">
        <v>84334</v>
      </c>
      <c r="D2007" t="s">
        <v>598</v>
      </c>
      <c r="E2007">
        <v>136</v>
      </c>
    </row>
    <row r="2008" spans="1:5" x14ac:dyDescent="0.25">
      <c r="A2008" s="10">
        <v>44431</v>
      </c>
      <c r="B2008">
        <v>304988</v>
      </c>
      <c r="C2008">
        <v>463875</v>
      </c>
      <c r="D2008" t="s">
        <v>599</v>
      </c>
      <c r="E2008">
        <v>140</v>
      </c>
    </row>
    <row r="2009" spans="1:5" x14ac:dyDescent="0.25">
      <c r="A2009" s="10">
        <v>44431</v>
      </c>
      <c r="B2009">
        <v>304887</v>
      </c>
      <c r="C2009" t="s">
        <v>374</v>
      </c>
      <c r="D2009" t="s">
        <v>600</v>
      </c>
      <c r="E2009">
        <v>144</v>
      </c>
    </row>
    <row r="2010" spans="1:5" x14ac:dyDescent="0.25">
      <c r="A2010" s="10">
        <v>44431</v>
      </c>
      <c r="B2010">
        <v>304882</v>
      </c>
      <c r="C2010">
        <v>317397</v>
      </c>
      <c r="D2010" t="s">
        <v>601</v>
      </c>
      <c r="E2010">
        <v>148</v>
      </c>
    </row>
    <row r="2011" spans="1:5" x14ac:dyDescent="0.25">
      <c r="A2011" s="10">
        <v>44431</v>
      </c>
      <c r="B2011">
        <v>304887</v>
      </c>
      <c r="C2011">
        <v>411264</v>
      </c>
      <c r="D2011" t="s">
        <v>602</v>
      </c>
      <c r="E2011">
        <v>152</v>
      </c>
    </row>
    <row r="2012" spans="1:5" x14ac:dyDescent="0.25">
      <c r="A2012" s="10">
        <v>44431</v>
      </c>
      <c r="B2012">
        <v>304887</v>
      </c>
      <c r="C2012">
        <v>420522</v>
      </c>
      <c r="D2012" t="s">
        <v>603</v>
      </c>
      <c r="E2012">
        <v>156</v>
      </c>
    </row>
    <row r="2013" spans="1:5" x14ac:dyDescent="0.25">
      <c r="A2013" s="10">
        <v>44431</v>
      </c>
      <c r="B2013">
        <v>304887</v>
      </c>
      <c r="C2013">
        <v>431154</v>
      </c>
      <c r="D2013" t="s">
        <v>604</v>
      </c>
      <c r="E2013">
        <v>160</v>
      </c>
    </row>
    <row r="2014" spans="1:5" x14ac:dyDescent="0.25">
      <c r="A2014" s="10">
        <v>44431</v>
      </c>
      <c r="B2014">
        <v>304887</v>
      </c>
      <c r="C2014">
        <v>325140</v>
      </c>
      <c r="D2014" t="s">
        <v>605</v>
      </c>
      <c r="E2014">
        <v>117</v>
      </c>
    </row>
    <row r="2015" spans="1:5" x14ac:dyDescent="0.25">
      <c r="A2015" s="10">
        <v>44431</v>
      </c>
      <c r="B2015">
        <v>304881</v>
      </c>
      <c r="C2015">
        <v>434748</v>
      </c>
      <c r="D2015" t="s">
        <v>606</v>
      </c>
      <c r="E2015">
        <v>121</v>
      </c>
    </row>
    <row r="2016" spans="1:5" x14ac:dyDescent="0.25">
      <c r="A2016" s="10">
        <v>44431</v>
      </c>
      <c r="B2016">
        <v>304881</v>
      </c>
      <c r="C2016">
        <v>424959</v>
      </c>
      <c r="D2016" t="s">
        <v>607</v>
      </c>
      <c r="E2016">
        <v>125</v>
      </c>
    </row>
    <row r="2017" spans="1:5" x14ac:dyDescent="0.25">
      <c r="A2017" s="10">
        <v>44431</v>
      </c>
      <c r="B2017">
        <v>304887</v>
      </c>
      <c r="C2017">
        <v>417342</v>
      </c>
      <c r="D2017" t="s">
        <v>608</v>
      </c>
      <c r="E2017">
        <v>129</v>
      </c>
    </row>
    <row r="2018" spans="1:5" x14ac:dyDescent="0.25">
      <c r="A2018" s="10">
        <v>44431</v>
      </c>
      <c r="B2018">
        <v>304882</v>
      </c>
      <c r="C2018">
        <v>316421</v>
      </c>
      <c r="D2018" t="s">
        <v>609</v>
      </c>
      <c r="E2018">
        <v>133</v>
      </c>
    </row>
    <row r="2019" spans="1:5" x14ac:dyDescent="0.25">
      <c r="A2019" s="10">
        <v>44431</v>
      </c>
      <c r="B2019">
        <v>304881</v>
      </c>
      <c r="C2019">
        <v>404394</v>
      </c>
      <c r="D2019" t="s">
        <v>610</v>
      </c>
      <c r="E2019">
        <v>137</v>
      </c>
    </row>
    <row r="2020" spans="1:5" x14ac:dyDescent="0.25">
      <c r="A2020" s="10">
        <v>44431</v>
      </c>
      <c r="B2020">
        <v>304887</v>
      </c>
      <c r="C2020">
        <v>409256</v>
      </c>
      <c r="D2020" t="s">
        <v>611</v>
      </c>
      <c r="E2020">
        <v>141</v>
      </c>
    </row>
    <row r="2021" spans="1:5" x14ac:dyDescent="0.25">
      <c r="A2021" s="10">
        <v>44431</v>
      </c>
      <c r="B2021">
        <v>304882</v>
      </c>
      <c r="C2021">
        <v>400398</v>
      </c>
      <c r="D2021" t="s">
        <v>612</v>
      </c>
      <c r="E2021">
        <v>145</v>
      </c>
    </row>
    <row r="2022" spans="1:5" x14ac:dyDescent="0.25">
      <c r="A2022" s="10">
        <v>44431</v>
      </c>
      <c r="B2022">
        <v>304887</v>
      </c>
      <c r="C2022">
        <v>404439</v>
      </c>
      <c r="D2022" t="s">
        <v>613</v>
      </c>
      <c r="E2022">
        <v>149</v>
      </c>
    </row>
    <row r="2023" spans="1:5" x14ac:dyDescent="0.25">
      <c r="A2023" s="10">
        <v>44431</v>
      </c>
      <c r="B2023">
        <v>304887</v>
      </c>
      <c r="C2023">
        <v>417490</v>
      </c>
      <c r="D2023" t="s">
        <v>614</v>
      </c>
      <c r="E2023">
        <v>153</v>
      </c>
    </row>
    <row r="2024" spans="1:5" x14ac:dyDescent="0.25">
      <c r="A2024" s="10">
        <v>44431</v>
      </c>
      <c r="B2024">
        <v>304887</v>
      </c>
      <c r="C2024">
        <v>87502</v>
      </c>
      <c r="D2024" t="s">
        <v>615</v>
      </c>
      <c r="E2024">
        <v>157</v>
      </c>
    </row>
    <row r="2025" spans="1:5" x14ac:dyDescent="0.25">
      <c r="A2025" s="10">
        <v>44431</v>
      </c>
      <c r="B2025">
        <v>304885</v>
      </c>
      <c r="C2025">
        <v>461696</v>
      </c>
      <c r="D2025" t="s">
        <v>616</v>
      </c>
      <c r="E2025">
        <v>161</v>
      </c>
    </row>
    <row r="2026" spans="1:5" x14ac:dyDescent="0.25">
      <c r="A2026" s="10">
        <v>44431</v>
      </c>
      <c r="B2026">
        <v>304882</v>
      </c>
      <c r="C2026">
        <v>320300</v>
      </c>
      <c r="D2026" t="s">
        <v>617</v>
      </c>
      <c r="E2026">
        <v>165</v>
      </c>
    </row>
    <row r="2027" spans="1:5" x14ac:dyDescent="0.25">
      <c r="A2027" s="10">
        <v>44431</v>
      </c>
      <c r="B2027">
        <v>304882</v>
      </c>
      <c r="C2027" t="s">
        <v>375</v>
      </c>
      <c r="D2027" t="s">
        <v>618</v>
      </c>
      <c r="E2027">
        <v>169</v>
      </c>
    </row>
    <row r="2028" spans="1:5" x14ac:dyDescent="0.25">
      <c r="A2028" s="10">
        <v>44431</v>
      </c>
      <c r="B2028">
        <v>304914</v>
      </c>
      <c r="C2028">
        <v>425044</v>
      </c>
      <c r="D2028" t="s">
        <v>619</v>
      </c>
      <c r="E2028">
        <v>224</v>
      </c>
    </row>
    <row r="2029" spans="1:5" x14ac:dyDescent="0.25">
      <c r="A2029" s="10">
        <v>44431</v>
      </c>
      <c r="B2029">
        <v>304914</v>
      </c>
      <c r="C2029">
        <v>425045</v>
      </c>
      <c r="D2029" t="s">
        <v>620</v>
      </c>
      <c r="E2029">
        <v>228</v>
      </c>
    </row>
    <row r="2030" spans="1:5" x14ac:dyDescent="0.25">
      <c r="A2030" s="10">
        <v>44431</v>
      </c>
      <c r="B2030">
        <v>304914</v>
      </c>
      <c r="C2030" t="s">
        <v>92</v>
      </c>
      <c r="D2030" t="s">
        <v>621</v>
      </c>
      <c r="E2030">
        <v>232</v>
      </c>
    </row>
    <row r="2031" spans="1:5" x14ac:dyDescent="0.25">
      <c r="A2031" s="10">
        <v>44431</v>
      </c>
      <c r="B2031">
        <v>304914</v>
      </c>
      <c r="C2031">
        <v>421733</v>
      </c>
      <c r="D2031" t="s">
        <v>622</v>
      </c>
      <c r="E2031">
        <v>236</v>
      </c>
    </row>
    <row r="2032" spans="1:5" x14ac:dyDescent="0.25">
      <c r="A2032" s="10">
        <v>44431</v>
      </c>
      <c r="B2032">
        <v>304914</v>
      </c>
      <c r="C2032">
        <v>421730</v>
      </c>
      <c r="D2032" t="s">
        <v>623</v>
      </c>
      <c r="E2032">
        <v>240</v>
      </c>
    </row>
    <row r="2033" spans="1:5" x14ac:dyDescent="0.25">
      <c r="A2033" s="10">
        <v>44431</v>
      </c>
      <c r="B2033">
        <v>304914</v>
      </c>
      <c r="C2033">
        <v>425046</v>
      </c>
      <c r="D2033" t="s">
        <v>624</v>
      </c>
      <c r="E2033">
        <v>244</v>
      </c>
    </row>
    <row r="2034" spans="1:5" x14ac:dyDescent="0.25">
      <c r="A2034" s="10">
        <v>44431</v>
      </c>
      <c r="B2034">
        <v>304914</v>
      </c>
      <c r="C2034">
        <v>439935</v>
      </c>
      <c r="D2034" t="s">
        <v>625</v>
      </c>
      <c r="E2034">
        <v>248</v>
      </c>
    </row>
    <row r="2035" spans="1:5" x14ac:dyDescent="0.25">
      <c r="A2035" s="10">
        <v>44431</v>
      </c>
      <c r="B2035">
        <v>304914</v>
      </c>
      <c r="C2035" t="s">
        <v>93</v>
      </c>
      <c r="D2035" t="s">
        <v>626</v>
      </c>
      <c r="E2035">
        <v>252</v>
      </c>
    </row>
    <row r="2036" spans="1:5" x14ac:dyDescent="0.25">
      <c r="A2036" s="10">
        <v>44431</v>
      </c>
      <c r="B2036">
        <v>304885</v>
      </c>
      <c r="C2036">
        <v>412667</v>
      </c>
      <c r="D2036" t="s">
        <v>627</v>
      </c>
      <c r="E2036">
        <v>256</v>
      </c>
    </row>
    <row r="2037" spans="1:5" x14ac:dyDescent="0.25">
      <c r="A2037" s="10">
        <v>44431</v>
      </c>
      <c r="B2037">
        <v>304914</v>
      </c>
      <c r="C2037" t="s">
        <v>376</v>
      </c>
      <c r="D2037" t="s">
        <v>628</v>
      </c>
      <c r="E2037">
        <v>260</v>
      </c>
    </row>
    <row r="2038" spans="1:5" x14ac:dyDescent="0.25">
      <c r="A2038" s="10">
        <v>44431</v>
      </c>
      <c r="B2038">
        <v>304914</v>
      </c>
      <c r="C2038" t="s">
        <v>376</v>
      </c>
      <c r="D2038" t="s">
        <v>629</v>
      </c>
      <c r="E2038">
        <v>260</v>
      </c>
    </row>
    <row r="2039" spans="1:5" x14ac:dyDescent="0.25">
      <c r="A2039" s="10">
        <v>44431</v>
      </c>
      <c r="B2039">
        <v>304914</v>
      </c>
      <c r="C2039" t="s">
        <v>376</v>
      </c>
      <c r="D2039" t="s">
        <v>630</v>
      </c>
      <c r="E2039">
        <v>260</v>
      </c>
    </row>
    <row r="2040" spans="1:5" x14ac:dyDescent="0.25">
      <c r="A2040" s="10">
        <v>44431</v>
      </c>
      <c r="B2040">
        <v>304914</v>
      </c>
      <c r="C2040">
        <v>262262</v>
      </c>
      <c r="D2040" t="s">
        <v>631</v>
      </c>
      <c r="E2040">
        <v>262</v>
      </c>
    </row>
    <row r="2041" spans="1:5" x14ac:dyDescent="0.25">
      <c r="A2041" s="10">
        <v>44431</v>
      </c>
      <c r="B2041">
        <v>304914</v>
      </c>
      <c r="C2041" t="s">
        <v>124</v>
      </c>
      <c r="D2041" t="s">
        <v>632</v>
      </c>
      <c r="E2041">
        <v>264</v>
      </c>
    </row>
    <row r="2042" spans="1:5" x14ac:dyDescent="0.25">
      <c r="A2042" s="10">
        <v>44431</v>
      </c>
      <c r="B2042">
        <v>304914</v>
      </c>
      <c r="C2042">
        <v>266266</v>
      </c>
      <c r="D2042" t="s">
        <v>633</v>
      </c>
      <c r="E2042">
        <v>266</v>
      </c>
    </row>
    <row r="2043" spans="1:5" x14ac:dyDescent="0.25">
      <c r="A2043" s="10">
        <v>44431</v>
      </c>
      <c r="B2043">
        <v>304884</v>
      </c>
      <c r="C2043">
        <v>99450</v>
      </c>
      <c r="D2043" t="s">
        <v>634</v>
      </c>
      <c r="E2043">
        <v>221</v>
      </c>
    </row>
    <row r="2044" spans="1:5" x14ac:dyDescent="0.25">
      <c r="A2044" s="10">
        <v>44431</v>
      </c>
      <c r="B2044">
        <v>304884</v>
      </c>
      <c r="C2044">
        <v>403441</v>
      </c>
      <c r="D2044" t="s">
        <v>635</v>
      </c>
      <c r="E2044">
        <v>225</v>
      </c>
    </row>
    <row r="2045" spans="1:5" x14ac:dyDescent="0.25">
      <c r="A2045" s="10">
        <v>44431</v>
      </c>
      <c r="B2045">
        <v>304884</v>
      </c>
      <c r="C2045">
        <v>425293</v>
      </c>
      <c r="D2045" t="s">
        <v>636</v>
      </c>
      <c r="E2045">
        <v>229</v>
      </c>
    </row>
    <row r="2046" spans="1:5" x14ac:dyDescent="0.25">
      <c r="A2046" s="10">
        <v>44431</v>
      </c>
      <c r="B2046">
        <v>304988</v>
      </c>
      <c r="C2046">
        <v>303354</v>
      </c>
      <c r="D2046" t="s">
        <v>637</v>
      </c>
      <c r="E2046">
        <v>233</v>
      </c>
    </row>
    <row r="2047" spans="1:5" x14ac:dyDescent="0.25">
      <c r="A2047" s="10">
        <v>44431</v>
      </c>
      <c r="B2047">
        <v>304988</v>
      </c>
      <c r="C2047" t="s">
        <v>377</v>
      </c>
      <c r="D2047" t="s">
        <v>638</v>
      </c>
      <c r="E2047">
        <v>237</v>
      </c>
    </row>
    <row r="2048" spans="1:5" x14ac:dyDescent="0.25">
      <c r="A2048" s="10">
        <v>44431</v>
      </c>
      <c r="B2048">
        <v>304884</v>
      </c>
      <c r="C2048">
        <v>423185</v>
      </c>
      <c r="D2048" t="s">
        <v>639</v>
      </c>
      <c r="E2048">
        <v>241</v>
      </c>
    </row>
    <row r="2049" spans="1:5" x14ac:dyDescent="0.25">
      <c r="A2049" s="10">
        <v>44431</v>
      </c>
      <c r="B2049">
        <v>304884</v>
      </c>
      <c r="C2049">
        <v>423185</v>
      </c>
      <c r="D2049" t="s">
        <v>640</v>
      </c>
      <c r="E2049">
        <v>241</v>
      </c>
    </row>
    <row r="2050" spans="1:5" x14ac:dyDescent="0.25">
      <c r="A2050" s="10">
        <v>44431</v>
      </c>
      <c r="B2050">
        <v>304884</v>
      </c>
      <c r="C2050">
        <v>423185</v>
      </c>
      <c r="D2050" t="s">
        <v>641</v>
      </c>
      <c r="E2050">
        <v>241</v>
      </c>
    </row>
    <row r="2051" spans="1:5" x14ac:dyDescent="0.25">
      <c r="A2051" s="10">
        <v>44431</v>
      </c>
      <c r="B2051">
        <v>304882</v>
      </c>
      <c r="C2051">
        <v>72736</v>
      </c>
      <c r="D2051" t="s">
        <v>642</v>
      </c>
      <c r="E2051">
        <v>245</v>
      </c>
    </row>
    <row r="2052" spans="1:5" x14ac:dyDescent="0.25">
      <c r="A2052" s="10">
        <v>44431</v>
      </c>
      <c r="B2052">
        <v>304884</v>
      </c>
      <c r="C2052">
        <v>314246</v>
      </c>
      <c r="D2052" t="s">
        <v>643</v>
      </c>
      <c r="E2052">
        <v>249</v>
      </c>
    </row>
    <row r="2053" spans="1:5" x14ac:dyDescent="0.25">
      <c r="A2053" s="10">
        <v>44431</v>
      </c>
      <c r="B2053">
        <v>304884</v>
      </c>
      <c r="C2053">
        <v>75182</v>
      </c>
      <c r="D2053" t="s">
        <v>644</v>
      </c>
      <c r="E2053">
        <v>253</v>
      </c>
    </row>
    <row r="2054" spans="1:5" x14ac:dyDescent="0.25">
      <c r="A2054" s="10">
        <v>44431</v>
      </c>
      <c r="B2054">
        <v>304884</v>
      </c>
      <c r="C2054">
        <v>412800</v>
      </c>
      <c r="D2054" t="s">
        <v>645</v>
      </c>
      <c r="E2054">
        <v>257</v>
      </c>
    </row>
    <row r="2055" spans="1:5" x14ac:dyDescent="0.25">
      <c r="A2055" s="10">
        <v>44431</v>
      </c>
      <c r="B2055">
        <v>304884</v>
      </c>
      <c r="C2055">
        <v>328267</v>
      </c>
      <c r="D2055" t="s">
        <v>646</v>
      </c>
      <c r="E2055">
        <v>261</v>
      </c>
    </row>
    <row r="2056" spans="1:5" x14ac:dyDescent="0.25">
      <c r="A2056" s="10">
        <v>44431</v>
      </c>
      <c r="B2056">
        <v>304882</v>
      </c>
      <c r="C2056">
        <v>317398</v>
      </c>
      <c r="D2056" t="s">
        <v>647</v>
      </c>
      <c r="E2056">
        <v>265</v>
      </c>
    </row>
    <row r="2057" spans="1:5" x14ac:dyDescent="0.25">
      <c r="A2057" s="10">
        <v>44431</v>
      </c>
      <c r="B2057">
        <v>304883</v>
      </c>
      <c r="C2057">
        <v>404328</v>
      </c>
      <c r="D2057" t="s">
        <v>648</v>
      </c>
      <c r="E2057">
        <v>324</v>
      </c>
    </row>
    <row r="2058" spans="1:5" x14ac:dyDescent="0.25">
      <c r="A2058" s="10">
        <v>44431</v>
      </c>
      <c r="B2058">
        <v>304885</v>
      </c>
      <c r="C2058">
        <v>314162</v>
      </c>
      <c r="D2058" t="s">
        <v>649</v>
      </c>
      <c r="E2058">
        <v>328</v>
      </c>
    </row>
    <row r="2059" spans="1:5" x14ac:dyDescent="0.25">
      <c r="A2059" s="10">
        <v>44431</v>
      </c>
      <c r="B2059">
        <v>304883</v>
      </c>
      <c r="C2059" t="s">
        <v>378</v>
      </c>
      <c r="D2059" t="s">
        <v>650</v>
      </c>
      <c r="E2059">
        <v>332</v>
      </c>
    </row>
    <row r="2060" spans="1:5" x14ac:dyDescent="0.25">
      <c r="A2060" s="10">
        <v>44431</v>
      </c>
      <c r="B2060">
        <v>304885</v>
      </c>
      <c r="C2060" t="s">
        <v>379</v>
      </c>
      <c r="D2060" t="s">
        <v>651</v>
      </c>
      <c r="E2060">
        <v>336</v>
      </c>
    </row>
    <row r="2061" spans="1:5" x14ac:dyDescent="0.25">
      <c r="A2061" s="10">
        <v>44431</v>
      </c>
      <c r="B2061">
        <v>304886</v>
      </c>
      <c r="C2061">
        <v>405337</v>
      </c>
      <c r="D2061" t="s">
        <v>652</v>
      </c>
      <c r="E2061">
        <v>340</v>
      </c>
    </row>
    <row r="2062" spans="1:5" x14ac:dyDescent="0.25">
      <c r="A2062" s="10">
        <v>44431</v>
      </c>
      <c r="B2062">
        <v>304881</v>
      </c>
      <c r="C2062">
        <v>461887</v>
      </c>
      <c r="D2062" t="s">
        <v>653</v>
      </c>
      <c r="E2062">
        <v>344</v>
      </c>
    </row>
    <row r="2063" spans="1:5" x14ac:dyDescent="0.25">
      <c r="A2063" s="10">
        <v>44431</v>
      </c>
      <c r="B2063">
        <v>304881</v>
      </c>
      <c r="C2063" t="s">
        <v>244</v>
      </c>
      <c r="D2063" t="s">
        <v>654</v>
      </c>
      <c r="E2063">
        <v>348</v>
      </c>
    </row>
    <row r="2064" spans="1:5" x14ac:dyDescent="0.25">
      <c r="A2064" s="10">
        <v>44431</v>
      </c>
      <c r="B2064">
        <v>304881</v>
      </c>
      <c r="C2064">
        <v>461885</v>
      </c>
      <c r="D2064" t="s">
        <v>655</v>
      </c>
      <c r="E2064">
        <v>352</v>
      </c>
    </row>
    <row r="2065" spans="1:5" x14ac:dyDescent="0.25">
      <c r="A2065" s="10">
        <v>44431</v>
      </c>
      <c r="B2065">
        <v>304881</v>
      </c>
      <c r="C2065">
        <v>434749</v>
      </c>
      <c r="D2065" t="s">
        <v>656</v>
      </c>
      <c r="E2065">
        <v>356</v>
      </c>
    </row>
    <row r="2066" spans="1:5" x14ac:dyDescent="0.25">
      <c r="A2066" s="10">
        <v>44431</v>
      </c>
      <c r="B2066">
        <v>304881</v>
      </c>
      <c r="C2066" t="s">
        <v>96</v>
      </c>
      <c r="D2066" t="s">
        <v>657</v>
      </c>
      <c r="E2066">
        <v>362</v>
      </c>
    </row>
    <row r="2067" spans="1:5" x14ac:dyDescent="0.25">
      <c r="A2067" s="10">
        <v>44431</v>
      </c>
      <c r="B2067">
        <v>304881</v>
      </c>
      <c r="C2067" t="s">
        <v>112</v>
      </c>
      <c r="D2067" t="s">
        <v>658</v>
      </c>
      <c r="E2067">
        <v>366</v>
      </c>
    </row>
    <row r="2068" spans="1:5" x14ac:dyDescent="0.25">
      <c r="A2068" s="10">
        <v>44431</v>
      </c>
      <c r="B2068">
        <v>304881</v>
      </c>
      <c r="C2068" t="s">
        <v>97</v>
      </c>
      <c r="D2068" t="s">
        <v>659</v>
      </c>
      <c r="E2068">
        <v>368</v>
      </c>
    </row>
    <row r="2069" spans="1:5" x14ac:dyDescent="0.25">
      <c r="A2069" s="10">
        <v>44431</v>
      </c>
      <c r="B2069">
        <v>304885</v>
      </c>
      <c r="C2069" t="s">
        <v>127</v>
      </c>
      <c r="D2069" t="s">
        <v>660</v>
      </c>
      <c r="E2069">
        <v>370</v>
      </c>
    </row>
    <row r="2070" spans="1:5" x14ac:dyDescent="0.25">
      <c r="A2070" s="10">
        <v>44431</v>
      </c>
      <c r="B2070">
        <v>304882</v>
      </c>
      <c r="C2070" t="s">
        <v>98</v>
      </c>
      <c r="D2070" t="s">
        <v>661</v>
      </c>
      <c r="E2070">
        <v>376</v>
      </c>
    </row>
    <row r="2071" spans="1:5" x14ac:dyDescent="0.25">
      <c r="A2071" s="10">
        <v>44431</v>
      </c>
      <c r="B2071">
        <v>304883</v>
      </c>
      <c r="C2071">
        <v>432597</v>
      </c>
      <c r="D2071" t="s">
        <v>662</v>
      </c>
      <c r="E2071">
        <v>321</v>
      </c>
    </row>
    <row r="2072" spans="1:5" x14ac:dyDescent="0.25">
      <c r="A2072" s="10">
        <v>44431</v>
      </c>
      <c r="B2072">
        <v>304883</v>
      </c>
      <c r="C2072" t="s">
        <v>380</v>
      </c>
      <c r="D2072" t="s">
        <v>663</v>
      </c>
      <c r="E2072">
        <v>325</v>
      </c>
    </row>
    <row r="2073" spans="1:5" x14ac:dyDescent="0.25">
      <c r="A2073" s="10">
        <v>44431</v>
      </c>
      <c r="B2073">
        <v>304883</v>
      </c>
      <c r="C2073" t="s">
        <v>272</v>
      </c>
      <c r="D2073" t="s">
        <v>664</v>
      </c>
      <c r="E2073">
        <v>329</v>
      </c>
    </row>
    <row r="2074" spans="1:5" x14ac:dyDescent="0.25">
      <c r="A2074" s="10">
        <v>44431</v>
      </c>
      <c r="B2074">
        <v>304883</v>
      </c>
      <c r="C2074">
        <v>99443</v>
      </c>
      <c r="D2074" t="s">
        <v>665</v>
      </c>
      <c r="E2074">
        <v>333</v>
      </c>
    </row>
    <row r="2075" spans="1:5" x14ac:dyDescent="0.25">
      <c r="A2075" s="10">
        <v>44431</v>
      </c>
      <c r="B2075">
        <v>304883</v>
      </c>
      <c r="C2075" t="s">
        <v>381</v>
      </c>
      <c r="D2075" t="s">
        <v>666</v>
      </c>
      <c r="E2075">
        <v>337</v>
      </c>
    </row>
    <row r="2076" spans="1:5" x14ac:dyDescent="0.25">
      <c r="A2076" s="10">
        <v>44431</v>
      </c>
      <c r="B2076">
        <v>304883</v>
      </c>
      <c r="C2076">
        <v>432598</v>
      </c>
      <c r="D2076" t="s">
        <v>667</v>
      </c>
      <c r="E2076">
        <v>341</v>
      </c>
    </row>
    <row r="2077" spans="1:5" x14ac:dyDescent="0.25">
      <c r="A2077" s="10">
        <v>44431</v>
      </c>
      <c r="B2077">
        <v>304885</v>
      </c>
      <c r="C2077">
        <v>321367</v>
      </c>
      <c r="D2077" t="s">
        <v>668</v>
      </c>
      <c r="E2077">
        <v>345</v>
      </c>
    </row>
    <row r="2078" spans="1:5" x14ac:dyDescent="0.25">
      <c r="A2078" s="10">
        <v>44431</v>
      </c>
      <c r="B2078">
        <v>304885</v>
      </c>
      <c r="C2078" t="s">
        <v>382</v>
      </c>
      <c r="D2078" t="s">
        <v>669</v>
      </c>
      <c r="E2078">
        <v>349</v>
      </c>
    </row>
    <row r="2079" spans="1:5" x14ac:dyDescent="0.25">
      <c r="A2079" s="10">
        <v>44431</v>
      </c>
      <c r="B2079">
        <v>304885</v>
      </c>
      <c r="C2079">
        <v>87376</v>
      </c>
      <c r="D2079" t="s">
        <v>670</v>
      </c>
      <c r="E2079">
        <v>353</v>
      </c>
    </row>
    <row r="2080" spans="1:5" x14ac:dyDescent="0.25">
      <c r="A2080" s="10">
        <v>44431</v>
      </c>
      <c r="B2080">
        <v>304885</v>
      </c>
      <c r="C2080">
        <v>320665</v>
      </c>
      <c r="D2080" t="s">
        <v>671</v>
      </c>
      <c r="E2080">
        <v>357</v>
      </c>
    </row>
    <row r="2081" spans="1:5" x14ac:dyDescent="0.25">
      <c r="A2081" s="10">
        <v>44431</v>
      </c>
      <c r="B2081">
        <v>304881</v>
      </c>
      <c r="C2081">
        <v>461886</v>
      </c>
      <c r="D2081" t="s">
        <v>672</v>
      </c>
      <c r="E2081">
        <v>361</v>
      </c>
    </row>
    <row r="2082" spans="1:5" x14ac:dyDescent="0.25">
      <c r="A2082" s="10">
        <v>44431</v>
      </c>
      <c r="B2082">
        <v>304881</v>
      </c>
      <c r="C2082">
        <v>320763</v>
      </c>
      <c r="D2082" t="s">
        <v>673</v>
      </c>
      <c r="E2082">
        <v>365</v>
      </c>
    </row>
    <row r="2083" spans="1:5" x14ac:dyDescent="0.25">
      <c r="A2083" s="10">
        <v>44431</v>
      </c>
      <c r="B2083">
        <v>304881</v>
      </c>
      <c r="C2083">
        <v>421770</v>
      </c>
      <c r="D2083" t="s">
        <v>674</v>
      </c>
      <c r="E2083">
        <v>369</v>
      </c>
    </row>
    <row r="2084" spans="1:5" x14ac:dyDescent="0.25">
      <c r="A2084" s="10">
        <v>44431</v>
      </c>
      <c r="B2084">
        <v>304887</v>
      </c>
      <c r="C2084">
        <v>203589</v>
      </c>
      <c r="D2084" t="s">
        <v>675</v>
      </c>
      <c r="E2084">
        <v>420</v>
      </c>
    </row>
    <row r="2085" spans="1:5" x14ac:dyDescent="0.25">
      <c r="A2085" s="10">
        <v>44431</v>
      </c>
      <c r="B2085">
        <v>304883</v>
      </c>
      <c r="C2085" t="s">
        <v>383</v>
      </c>
      <c r="D2085" t="s">
        <v>676</v>
      </c>
      <c r="E2085">
        <v>436</v>
      </c>
    </row>
    <row r="2086" spans="1:5" x14ac:dyDescent="0.25">
      <c r="A2086" s="10">
        <v>44431</v>
      </c>
      <c r="B2086">
        <v>304883</v>
      </c>
      <c r="C2086">
        <v>438438</v>
      </c>
      <c r="D2086" t="s">
        <v>677</v>
      </c>
      <c r="E2086">
        <v>438</v>
      </c>
    </row>
    <row r="2087" spans="1:5" x14ac:dyDescent="0.25">
      <c r="A2087" s="10">
        <v>44431</v>
      </c>
      <c r="B2087">
        <v>304988</v>
      </c>
      <c r="C2087" t="s">
        <v>248</v>
      </c>
      <c r="D2087" t="s">
        <v>678</v>
      </c>
      <c r="E2087">
        <v>440</v>
      </c>
    </row>
    <row r="2088" spans="1:5" x14ac:dyDescent="0.25">
      <c r="A2088" s="10">
        <v>44431</v>
      </c>
      <c r="B2088">
        <v>304887</v>
      </c>
      <c r="C2088" t="s">
        <v>384</v>
      </c>
      <c r="D2088" t="s">
        <v>679</v>
      </c>
      <c r="E2088">
        <v>468</v>
      </c>
    </row>
    <row r="2089" spans="1:5" x14ac:dyDescent="0.25">
      <c r="A2089" s="10">
        <v>44431</v>
      </c>
      <c r="B2089">
        <v>304882</v>
      </c>
      <c r="C2089" t="s">
        <v>120</v>
      </c>
      <c r="D2089" t="s">
        <v>680</v>
      </c>
      <c r="E2089">
        <v>472</v>
      </c>
    </row>
    <row r="2090" spans="1:5" x14ac:dyDescent="0.25">
      <c r="A2090" s="10">
        <v>44431</v>
      </c>
      <c r="B2090">
        <v>304884</v>
      </c>
      <c r="C2090">
        <v>305177</v>
      </c>
      <c r="D2090" t="s">
        <v>681</v>
      </c>
      <c r="E2090">
        <v>419</v>
      </c>
    </row>
    <row r="2091" spans="1:5" x14ac:dyDescent="0.25">
      <c r="A2091" s="10">
        <v>44431</v>
      </c>
      <c r="B2091">
        <v>304886</v>
      </c>
      <c r="C2091">
        <v>14958</v>
      </c>
      <c r="D2091" t="s">
        <v>682</v>
      </c>
      <c r="E2091">
        <v>421</v>
      </c>
    </row>
    <row r="2092" spans="1:5" x14ac:dyDescent="0.25">
      <c r="A2092" s="10">
        <v>44431</v>
      </c>
      <c r="B2092">
        <v>304881</v>
      </c>
      <c r="C2092" t="s">
        <v>115</v>
      </c>
      <c r="D2092" t="s">
        <v>683</v>
      </c>
      <c r="E2092">
        <v>423</v>
      </c>
    </row>
    <row r="2093" spans="1:5" x14ac:dyDescent="0.25">
      <c r="A2093" s="10">
        <v>44431</v>
      </c>
      <c r="B2093">
        <v>304883</v>
      </c>
      <c r="C2093" t="s">
        <v>385</v>
      </c>
      <c r="D2093" t="s">
        <v>684</v>
      </c>
      <c r="E2093">
        <v>425</v>
      </c>
    </row>
    <row r="2094" spans="1:5" x14ac:dyDescent="0.25">
      <c r="A2094" s="10">
        <v>44431</v>
      </c>
      <c r="B2094">
        <v>304884</v>
      </c>
      <c r="C2094" t="s">
        <v>101</v>
      </c>
      <c r="D2094" t="s">
        <v>685</v>
      </c>
      <c r="E2094">
        <v>520</v>
      </c>
    </row>
    <row r="2095" spans="1:5" x14ac:dyDescent="0.25">
      <c r="A2095" s="10">
        <v>44431</v>
      </c>
      <c r="B2095">
        <v>304884</v>
      </c>
      <c r="C2095" t="s">
        <v>386</v>
      </c>
      <c r="D2095" t="s">
        <v>686</v>
      </c>
      <c r="E2095">
        <v>524</v>
      </c>
    </row>
    <row r="2096" spans="1:5" x14ac:dyDescent="0.25">
      <c r="A2096" s="10">
        <v>44431</v>
      </c>
      <c r="B2096">
        <v>304884</v>
      </c>
      <c r="C2096" t="s">
        <v>123</v>
      </c>
      <c r="D2096" t="s">
        <v>687</v>
      </c>
      <c r="E2096">
        <v>526</v>
      </c>
    </row>
    <row r="2097" spans="1:5" x14ac:dyDescent="0.25">
      <c r="A2097" s="10">
        <v>44431</v>
      </c>
      <c r="B2097">
        <v>304884</v>
      </c>
      <c r="C2097" t="s">
        <v>123</v>
      </c>
      <c r="D2097" t="s">
        <v>688</v>
      </c>
      <c r="E2097">
        <v>526</v>
      </c>
    </row>
    <row r="2098" spans="1:5" x14ac:dyDescent="0.25">
      <c r="A2098" s="10">
        <v>44431</v>
      </c>
      <c r="B2098">
        <v>304884</v>
      </c>
      <c r="C2098" t="s">
        <v>123</v>
      </c>
      <c r="D2098" t="s">
        <v>689</v>
      </c>
      <c r="E2098">
        <v>526</v>
      </c>
    </row>
    <row r="2099" spans="1:5" x14ac:dyDescent="0.25">
      <c r="A2099" s="10">
        <v>44431</v>
      </c>
      <c r="B2099">
        <v>304887</v>
      </c>
      <c r="C2099" t="s">
        <v>329</v>
      </c>
      <c r="D2099" t="s">
        <v>690</v>
      </c>
      <c r="E2099">
        <v>530</v>
      </c>
    </row>
    <row r="2100" spans="1:5" x14ac:dyDescent="0.25">
      <c r="A2100" s="10">
        <v>44431</v>
      </c>
      <c r="B2100">
        <v>304881</v>
      </c>
      <c r="C2100" t="s">
        <v>104</v>
      </c>
      <c r="D2100" t="s">
        <v>691</v>
      </c>
      <c r="E2100">
        <v>532</v>
      </c>
    </row>
    <row r="2101" spans="1:5" x14ac:dyDescent="0.25">
      <c r="A2101" s="10">
        <v>44431</v>
      </c>
      <c r="B2101">
        <v>304887</v>
      </c>
      <c r="C2101">
        <v>542542</v>
      </c>
      <c r="D2101" t="s">
        <v>692</v>
      </c>
      <c r="E2101">
        <v>542</v>
      </c>
    </row>
    <row r="2102" spans="1:5" x14ac:dyDescent="0.25">
      <c r="A2102" s="10">
        <v>44431</v>
      </c>
      <c r="B2102">
        <v>304886</v>
      </c>
      <c r="C2102" t="s">
        <v>106</v>
      </c>
      <c r="D2102" t="s">
        <v>693</v>
      </c>
      <c r="E2102">
        <v>616</v>
      </c>
    </row>
    <row r="2103" spans="1:5" x14ac:dyDescent="0.25">
      <c r="A2103" s="10">
        <v>44431</v>
      </c>
      <c r="B2103">
        <v>304885</v>
      </c>
      <c r="C2103" t="s">
        <v>367</v>
      </c>
      <c r="D2103" t="s">
        <v>694</v>
      </c>
      <c r="E2103">
        <v>642</v>
      </c>
    </row>
    <row r="2104" spans="1:5" x14ac:dyDescent="0.25">
      <c r="A2104" s="10">
        <v>44431</v>
      </c>
      <c r="B2104">
        <v>304886</v>
      </c>
      <c r="C2104" t="s">
        <v>109</v>
      </c>
      <c r="D2104" t="s">
        <v>695</v>
      </c>
      <c r="E2104">
        <v>654</v>
      </c>
    </row>
    <row r="2105" spans="1:5" x14ac:dyDescent="0.25">
      <c r="A2105" s="10">
        <v>44431</v>
      </c>
      <c r="B2105">
        <v>304886</v>
      </c>
      <c r="C2105" t="s">
        <v>121</v>
      </c>
      <c r="D2105" t="s">
        <v>696</v>
      </c>
      <c r="E2105">
        <v>656</v>
      </c>
    </row>
    <row r="2106" spans="1:5" x14ac:dyDescent="0.25">
      <c r="A2106" s="10">
        <v>44431</v>
      </c>
      <c r="B2106">
        <v>304886</v>
      </c>
      <c r="C2106" t="s">
        <v>387</v>
      </c>
      <c r="D2106" t="s">
        <v>697</v>
      </c>
      <c r="E2106">
        <v>660</v>
      </c>
    </row>
    <row r="2107" spans="1:5" x14ac:dyDescent="0.25">
      <c r="A2107" s="10">
        <v>44431</v>
      </c>
      <c r="B2107">
        <v>304914</v>
      </c>
      <c r="C2107" t="s">
        <v>335</v>
      </c>
      <c r="D2107" t="s">
        <v>698</v>
      </c>
      <c r="E2107">
        <v>662</v>
      </c>
    </row>
    <row r="2108" spans="1:5" x14ac:dyDescent="0.25">
      <c r="A2108" s="10">
        <v>44431</v>
      </c>
      <c r="B2108">
        <v>304988</v>
      </c>
      <c r="C2108">
        <v>24223</v>
      </c>
      <c r="D2108" t="s">
        <v>699</v>
      </c>
      <c r="E2108">
        <v>672</v>
      </c>
    </row>
    <row r="2109" spans="1:5" x14ac:dyDescent="0.25">
      <c r="A2109" s="10">
        <v>44431</v>
      </c>
      <c r="B2109">
        <v>304886</v>
      </c>
      <c r="C2109" t="s">
        <v>388</v>
      </c>
      <c r="D2109" t="s">
        <v>700</v>
      </c>
      <c r="E2109">
        <v>615</v>
      </c>
    </row>
    <row r="2110" spans="1:5" x14ac:dyDescent="0.25">
      <c r="A2110" s="10">
        <v>44431</v>
      </c>
      <c r="B2110">
        <v>304914</v>
      </c>
      <c r="C2110">
        <v>421736</v>
      </c>
      <c r="D2110" t="s">
        <v>701</v>
      </c>
      <c r="E2110">
        <v>617</v>
      </c>
    </row>
  </sheetData>
  <autoFilter ref="A1:E1893" xr:uid="{DDB8776F-FB1A-4215-8901-F98080959711}"/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Sheet5.ContractorToolClick">
                <anchor moveWithCells="1">
                  <from>
                    <xdr:col>6</xdr:col>
                    <xdr:colOff>0</xdr:colOff>
                    <xdr:row>0</xdr:row>
                    <xdr:rowOff>47625</xdr:rowOff>
                  </from>
                  <to>
                    <xdr:col>9</xdr:col>
                    <xdr:colOff>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A71DF612077046A6A58A0CD36CBDE5" ma:contentTypeVersion="12" ma:contentTypeDescription="Create a new document." ma:contentTypeScope="" ma:versionID="4bbc77219a48fa4fd46ee09b8021130f">
  <xsd:schema xmlns:xsd="http://www.w3.org/2001/XMLSchema" xmlns:xs="http://www.w3.org/2001/XMLSchema" xmlns:p="http://schemas.microsoft.com/office/2006/metadata/properties" xmlns:ns2="d2bfa476-0375-4e11-9acc-344ab297eaeb" xmlns:ns3="1ab44143-fb52-4e0d-b0dd-a5ad98ac4c91" targetNamespace="http://schemas.microsoft.com/office/2006/metadata/properties" ma:root="true" ma:fieldsID="339e05088558585321d8c6ef76da2a8a" ns2:_="" ns3:_="">
    <xsd:import namespace="d2bfa476-0375-4e11-9acc-344ab297eaeb"/>
    <xsd:import namespace="1ab44143-fb52-4e0d-b0dd-a5ad98ac4c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bfa476-0375-4e11-9acc-344ab297ea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b44143-fb52-4e0d-b0dd-a5ad98ac4c9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3041B56-1C84-464E-A372-3E430FADB8C3}">
  <ds:schemaRefs>
    <ds:schemaRef ds:uri="http://purl.org/dc/elements/1.1/"/>
    <ds:schemaRef ds:uri="http://schemas.microsoft.com/office/2006/metadata/properties"/>
    <ds:schemaRef ds:uri="1ab44143-fb52-4e0d-b0dd-a5ad98ac4c91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2bfa476-0375-4e11-9acc-344ab297eaeb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72BE534-090D-4BCF-B520-F62E2A61A8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2AC9F2-6305-4EB4-879E-BD99DA7A2C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bfa476-0375-4e11-9acc-344ab297eaeb"/>
    <ds:schemaRef ds:uri="1ab44143-fb52-4e0d-b0dd-a5ad98ac4c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98A86D7-3E11-4D8B-8245-471D4F2E8B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Nightly</vt:lpstr>
      <vt:lpstr>Morning</vt:lpstr>
      <vt:lpstr>Outstanding</vt:lpstr>
      <vt:lpstr>Old85s</vt:lpstr>
      <vt:lpstr>Trends</vt:lpstr>
      <vt:lpstr>ContractorData</vt:lpstr>
      <vt:lpstr>Outstanding!ADHeads</vt:lpstr>
      <vt:lpstr>ADHeads</vt:lpstr>
      <vt:lpstr>Contractors</vt:lpstr>
      <vt:lpstr>Outstanding!CTHeads</vt:lpstr>
      <vt:lpstr>CTHeads</vt:lpstr>
      <vt:lpstr>RetentionDays</vt:lpstr>
      <vt:lpstr>RPNHead</vt:lpstr>
      <vt:lpstr>RSHeads</vt:lpstr>
      <vt:lpstr>Outstanding!RSTrkHead</vt:lpstr>
      <vt:lpstr>RSTrkHead</vt:lpstr>
      <vt:lpstr>Outstanding!VSHeads</vt:lpstr>
      <vt:lpstr>VSHeads</vt:lpstr>
    </vt:vector>
  </TitlesOfParts>
  <Manager/>
  <Company>FedEx Services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Eva T. Smith</dc:creator>
  <cp:keywords/>
  <dc:description/>
  <cp:lastModifiedBy>fialho</cp:lastModifiedBy>
  <cp:revision/>
  <dcterms:created xsi:type="dcterms:W3CDTF">2011-11-01T16:17:04Z</dcterms:created>
  <dcterms:modified xsi:type="dcterms:W3CDTF">2022-05-14T01:41:43Z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0x010100A7A71DF612077046A6A58A0CD36CBDE5</vt:lpwstr>
  </property>
</Properties>
</file>