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alho\Desktop\"/>
    </mc:Choice>
  </mc:AlternateContent>
  <xr:revisionPtr revIDLastSave="0" documentId="13_ncr:1_{7D7BA227-04F1-4E0F-B217-F483CD067400}" xr6:coauthVersionLast="47" xr6:coauthVersionMax="47" xr10:uidLastSave="{00000000-0000-0000-0000-000000000000}"/>
  <bookViews>
    <workbookView xWindow="-120" yWindow="-120" windowWidth="20730" windowHeight="11160" firstSheet="1" activeTab="4" xr2:uid="{511E1F80-B4A2-44D0-A73E-FA496E6E8CDA}"/>
  </bookViews>
  <sheets>
    <sheet name="RollSheet" sheetId="40" state="hidden" r:id="rId1"/>
    <sheet name="Summary" sheetId="38" r:id="rId2"/>
    <sheet name="CSAs" sheetId="55" r:id="rId3"/>
    <sheet name="Loss Claims" sheetId="2" r:id="rId4"/>
    <sheet name="Damage Claims" sheetId="1" r:id="rId5"/>
  </sheets>
  <functionGroups builtInGroupCount="19"/>
  <definedNames>
    <definedName name="_xlnm._FilterDatabase" localSheetId="4" hidden="1">'Damage Claims'!$B$1:$K$1</definedName>
    <definedName name="CSANums">Table1[CSA '#]</definedName>
    <definedName name="DamageMinimizeColumns">'Damage Claims'!#REF!,'Damage Claims'!$D:$G,'Damage Claims'!$J:$J,'Damage Claims'!#REF!</definedName>
    <definedName name="DriverIDs">#REF!</definedName>
    <definedName name="LossMinimizeColumns">'Loss Claims'!$C:$C,'Loss Claims'!$E:$J,'Loss Claims'!$L:$AH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" i="38" l="1"/>
  <c r="A102" i="1"/>
  <c r="C32" i="38" l="1"/>
  <c r="C33" i="38"/>
  <c r="C34" i="38"/>
  <c r="C35" i="38"/>
  <c r="C20" i="38"/>
  <c r="C21" i="38"/>
  <c r="C22" i="38"/>
  <c r="C23" i="38"/>
  <c r="C8" i="38"/>
  <c r="C9" i="38"/>
  <c r="C10" i="38"/>
  <c r="C11" i="38"/>
  <c r="B21" i="38" l="1"/>
  <c r="B9" i="38"/>
  <c r="B23" i="38"/>
  <c r="B8" i="38"/>
  <c r="B22" i="38"/>
  <c r="B11" i="38"/>
  <c r="B20" i="38"/>
  <c r="C39" i="38"/>
  <c r="C38" i="38"/>
  <c r="C37" i="38"/>
  <c r="C36" i="38"/>
  <c r="C31" i="38"/>
  <c r="C27" i="38"/>
  <c r="C26" i="38"/>
  <c r="C25" i="38"/>
  <c r="C19" i="38"/>
  <c r="C24" i="38"/>
  <c r="C2" i="38"/>
  <c r="D2" i="38" s="1"/>
  <c r="C3" i="38"/>
  <c r="B33" i="38" l="1"/>
  <c r="B35" i="38"/>
  <c r="B32" i="38"/>
  <c r="B34" i="38"/>
  <c r="D20" i="38"/>
  <c r="D21" i="38"/>
  <c r="D23" i="38"/>
  <c r="D22" i="38"/>
  <c r="D3" i="38"/>
  <c r="C40" i="38"/>
  <c r="C28" i="38"/>
  <c r="C15" i="38"/>
  <c r="C14" i="38"/>
  <c r="C13" i="38"/>
  <c r="C12" i="38"/>
  <c r="C7" i="38"/>
  <c r="D8" i="38" l="1"/>
  <c r="D32" i="38" s="1"/>
  <c r="D9" i="38"/>
  <c r="D33" i="38" s="1"/>
  <c r="D11" i="38"/>
  <c r="D35" i="38" s="1"/>
  <c r="D10" i="38"/>
  <c r="D34" i="38" s="1"/>
  <c r="C16" i="38"/>
  <c r="B27" i="38" l="1"/>
  <c r="D27" i="38" s="1"/>
  <c r="B15" i="38"/>
  <c r="D15" i="38" s="1"/>
  <c r="B24" i="38"/>
  <c r="D24" i="38" s="1"/>
  <c r="B25" i="38"/>
  <c r="D25" i="38" s="1"/>
  <c r="B19" i="38"/>
  <c r="B26" i="38"/>
  <c r="D26" i="38" s="1"/>
  <c r="B14" i="38"/>
  <c r="D14" i="38" s="1"/>
  <c r="B7" i="38"/>
  <c r="D7" i="38" s="1"/>
  <c r="B13" i="38"/>
  <c r="D13" i="38" s="1"/>
  <c r="B12" i="38"/>
  <c r="D12" i="38" s="1"/>
  <c r="D37" i="38" l="1"/>
  <c r="D39" i="38"/>
  <c r="B36" i="38"/>
  <c r="B37" i="38"/>
  <c r="B31" i="38"/>
  <c r="D38" i="38"/>
  <c r="B38" i="38"/>
  <c r="B39" i="38"/>
  <c r="D19" i="38"/>
  <c r="D36" i="38" s="1"/>
  <c r="B28" i="38"/>
  <c r="D28" i="38" s="1"/>
  <c r="B16" i="38"/>
  <c r="D16" i="38" s="1"/>
  <c r="D31" i="38" l="1"/>
  <c r="B40" i="38"/>
  <c r="D40" i="38" s="1"/>
  <c r="A31" i="1"/>
  <c r="A95" i="1"/>
  <c r="A61" i="1"/>
  <c r="A40" i="1"/>
  <c r="A17" i="1"/>
  <c r="A35" i="1"/>
  <c r="A13" i="1"/>
  <c r="A90" i="1"/>
  <c r="A56" i="1"/>
  <c r="A15" i="1"/>
  <c r="A88" i="1"/>
  <c r="A33" i="1"/>
  <c r="A8" i="1"/>
  <c r="A72" i="1"/>
  <c r="A19" i="1"/>
  <c r="A51" i="1"/>
  <c r="A83" i="1"/>
  <c r="A96" i="1"/>
  <c r="A41" i="1"/>
  <c r="A38" i="1"/>
  <c r="A24" i="1"/>
  <c r="A92" i="1"/>
  <c r="A26" i="1"/>
  <c r="A3" i="1"/>
  <c r="A63" i="1"/>
  <c r="A5" i="1"/>
  <c r="A66" i="1"/>
  <c r="A62" i="1"/>
  <c r="A67" i="1"/>
  <c r="A99" i="1"/>
  <c r="A89" i="1"/>
  <c r="A57" i="1"/>
  <c r="A47" i="1"/>
  <c r="A79" i="1"/>
  <c r="A10" i="1"/>
  <c r="A97" i="1"/>
  <c r="A69" i="1"/>
  <c r="A93" i="1"/>
  <c r="A14" i="1"/>
  <c r="A42" i="1"/>
  <c r="A70" i="1"/>
  <c r="A98" i="1"/>
  <c r="A12" i="1"/>
  <c r="A28" i="1"/>
  <c r="A44" i="1"/>
  <c r="A60" i="1"/>
  <c r="A76" i="1"/>
  <c r="A100" i="1"/>
  <c r="A29" i="1"/>
  <c r="A65" i="1"/>
  <c r="A5" i="2"/>
  <c r="A34" i="1"/>
  <c r="A74" i="1"/>
  <c r="A7" i="1"/>
  <c r="A23" i="1"/>
  <c r="A39" i="1"/>
  <c r="A55" i="1"/>
  <c r="A71" i="1"/>
  <c r="A87" i="1"/>
  <c r="A2" i="2"/>
  <c r="A4" i="2"/>
  <c r="A21" i="1"/>
  <c r="A49" i="1"/>
  <c r="A73" i="1"/>
  <c r="A101" i="1"/>
  <c r="A22" i="1"/>
  <c r="A50" i="1"/>
  <c r="A78" i="1"/>
  <c r="A6" i="2"/>
  <c r="A16" i="1"/>
  <c r="A32" i="1"/>
  <c r="A48" i="1"/>
  <c r="A64" i="1"/>
  <c r="A80" i="1"/>
  <c r="A37" i="1"/>
  <c r="A77" i="1"/>
  <c r="A6" i="1"/>
  <c r="A46" i="1"/>
  <c r="A82" i="1"/>
  <c r="A11" i="1"/>
  <c r="A27" i="1"/>
  <c r="A43" i="1"/>
  <c r="A59" i="1"/>
  <c r="A75" i="1"/>
  <c r="A91" i="1"/>
  <c r="A7" i="2"/>
  <c r="A8" i="2"/>
  <c r="A25" i="1"/>
  <c r="A53" i="1"/>
  <c r="A81" i="1"/>
  <c r="A2" i="1"/>
  <c r="A30" i="1"/>
  <c r="A58" i="1"/>
  <c r="A86" i="1"/>
  <c r="A4" i="1"/>
  <c r="A20" i="1"/>
  <c r="A36" i="1"/>
  <c r="A52" i="1"/>
  <c r="A68" i="1"/>
  <c r="A84" i="1"/>
  <c r="A9" i="1"/>
  <c r="A45" i="1"/>
  <c r="A85" i="1"/>
  <c r="A18" i="1"/>
  <c r="A54" i="1"/>
  <c r="A9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8BA9FC-6574-4D16-836B-AF37D030C79A}" keepAlive="1" name="Connection" type="5" refreshedVersion="0" saveData="1">
    <dbPr connection="Provider=Microsoft.Mashup.OleDb.1;Data Source=$Workbook$;Location=&quot;Table 0 (2)&quot;;Extended Properties=&quot;&quot;" commandType="0"/>
  </connection>
  <connection id="2" xr16:uid="{72B95C24-5551-41D7-B2F6-7B440DE64961}" keepAlive="1" name="Connection1" type="5" refreshedVersion="0" saveData="1">
    <dbPr connection="Provider=Microsoft.Mashup.OleDb.1;Data Source=$Workbook$;Location=&quot;391433290444&quot;;Extended Properties=&quot;&quot;" commandType="0"/>
  </connection>
  <connection id="3" xr16:uid="{ABAAC7C4-6400-4AB5-95C5-D8CF902E8FA7}" keepAlive="1" name="Connection10" type="5" refreshedVersion="0" background="1">
    <dbPr connection="Provider=Microsoft.Mashup.OleDb.1;Data Source=$Workbook$;Location=&quot;391309290024&quot;;Extended Properties=&quot;&quot;" commandType="0"/>
  </connection>
  <connection id="4" xr16:uid="{AD899699-EBDB-4257-98EB-086DD0508A6E}" keepAlive="1" name="Connection100" type="5" refreshedVersion="0" background="1">
    <dbPr connection="Provider=Microsoft.Mashup.OleDb.1;Data Source=$Workbook$;Location=&quot;123578321012_01&quot;;Extended Properties=&quot;&quot;" commandType="0"/>
  </connection>
  <connection id="5" xr16:uid="{3C38D54E-D808-4200-A55C-4D4E5E3A2841}" keepAlive="1" name="Connection1000" type="5" refreshedVersion="0" background="1">
    <dbPr connection="Provider=Microsoft.Mashup.OleDb.1;Data Source=$Workbook$;Location=&quot;770313839749_04&quot;;Extended Properties=&quot;&quot;" commandType="0"/>
  </connection>
  <connection id="6" xr16:uid="{5037CC9B-02B5-453B-A362-606A5EFDC236}" keepAlive="1" name="Connection1001" type="5" refreshedVersion="0" background="1">
    <dbPr connection="Provider=Microsoft.Mashup.OleDb.1;Data Source=$Workbook$;Location=&quot;770393992901_01&quot;;Extended Properties=&quot;&quot;" commandType="0"/>
  </connection>
  <connection id="7" xr16:uid="{31D29E54-3988-4A3A-BE24-6C35C227512B}" keepAlive="1" name="Connection1002" type="5" refreshedVersion="0" background="1">
    <dbPr connection="Provider=Microsoft.Mashup.OleDb.1;Data Source=$Workbook$;Location=&quot;770393992901_04&quot;;Extended Properties=&quot;&quot;" commandType="0"/>
  </connection>
  <connection id="8" xr16:uid="{DD173949-9BE2-47C6-BA8B-812D49BC1285}" keepAlive="1" name="Connection1003" type="5" refreshedVersion="0" background="1">
    <dbPr connection="Provider=Microsoft.Mashup.OleDb.1;Data Source=$Workbook$;Location=&quot;981345817550345_01&quot;;Extended Properties=&quot;&quot;" commandType="0"/>
  </connection>
  <connection id="9" xr16:uid="{E5D387EE-4618-4868-86D5-200EAA333F6B}" keepAlive="1" name="Connection1004" type="5" refreshedVersion="0" background="1">
    <dbPr connection="Provider=Microsoft.Mashup.OleDb.1;Data Source=$Workbook$;Location=&quot;981345817550345_04&quot;;Extended Properties=&quot;&quot;" commandType="0"/>
  </connection>
  <connection id="10" xr16:uid="{80E38B0E-784C-4FE8-996C-463BEE2D826D}" keepAlive="1" name="Connection1005" type="5" refreshedVersion="0" saveData="1">
    <dbPr connection="Provider=Microsoft.Mashup.OleDb.1;Data Source=$Workbook$;Location=&quot;170527099152_04&quot;;Extended Properties=&quot;&quot;" commandType="0"/>
  </connection>
  <connection id="11" xr16:uid="{F0FBC75F-81EF-4808-AA08-128F40F596FE}" keepAlive="1" name="Connection1006" type="5" refreshedVersion="0" background="1">
    <dbPr connection="Provider=Microsoft.Mashup.OleDb.1;Data Source=$Workbook$;Location=&quot;178515414380_04&quot;;Extended Properties=&quot;&quot;" commandType="0"/>
  </connection>
  <connection id="12" xr16:uid="{C9C4AF29-2729-49AB-BDCA-D372E3F2E090}" keepAlive="1" name="Connection1007" type="5" refreshedVersion="0" background="1">
    <dbPr connection="Provider=Microsoft.Mashup.OleDb.1;Data Source=$Workbook$;Location=&quot;180947114712_04&quot;;Extended Properties=&quot;&quot;" commandType="0"/>
  </connection>
  <connection id="13" xr16:uid="{A54F6EFE-EB98-4D9C-AC09-3EDF58F33B59}" keepAlive="1" name="Connection1008" type="5" refreshedVersion="0" background="1">
    <dbPr connection="Provider=Microsoft.Mashup.OleDb.1;Data Source=$Workbook$;Location=&quot;278616910992114_04&quot;;Extended Properties=&quot;&quot;" commandType="0"/>
  </connection>
  <connection id="14" xr16:uid="{FD07BD8C-D84B-42CA-A514-3AB85C559C97}" keepAlive="1" name="Connection1009" type="5" refreshedVersion="0" saveData="1">
    <dbPr connection="Provider=Microsoft.Mashup.OleDb.1;Data Source=$Workbook$;Location=&quot;392801810353_04&quot;;Extended Properties=&quot;&quot;" commandType="0"/>
  </connection>
  <connection id="15" xr16:uid="{9934D8A7-FDB0-42E7-9852-B2B82739E5F1}" keepAlive="1" name="Connection101" type="5" refreshedVersion="0" background="1">
    <dbPr connection="Provider=Microsoft.Mashup.OleDb.1;Data Source=$Workbook$;Location=&quot;123578321012_04&quot;;Extended Properties=&quot;&quot;" commandType="0"/>
  </connection>
  <connection id="16" xr16:uid="{4B40EF68-2FF5-4BD4-A61D-06EE63D2067C}" keepAlive="1" name="Connection1010" type="5" refreshedVersion="0" background="1">
    <dbPr connection="Provider=Microsoft.Mashup.OleDb.1;Data Source=$Workbook$;Location=&quot;507867675103843_04&quot;;Extended Properties=&quot;&quot;" commandType="0"/>
  </connection>
  <connection id="17" xr16:uid="{D86A5785-6BAC-46E9-B6BA-918D446EA983}" keepAlive="1" name="Connection1011" type="5" refreshedVersion="0" background="1">
    <dbPr connection="Provider=Microsoft.Mashup.OleDb.1;Data Source=$Workbook$;Location=&quot;392664737367_04&quot;;Extended Properties=&quot;&quot;" commandType="0"/>
  </connection>
  <connection id="18" xr16:uid="{64EE1D85-AADB-4946-8FBE-B0503FFD4866}" keepAlive="1" name="Connection1012" type="5" refreshedVersion="0" background="1">
    <dbPr connection="Provider=Microsoft.Mashup.OleDb.1;Data Source=$Workbook$;Location=&quot;182189272645_04&quot;;Extended Properties=&quot;&quot;" commandType="0"/>
  </connection>
  <connection id="19" xr16:uid="{1E31240A-4104-4661-A1E9-EFEB9CB05DC5}" keepAlive="1" name="Connection1013" type="5" refreshedVersion="0" background="1">
    <dbPr connection="Provider=Microsoft.Mashup.OleDb.1;Data Source=$Workbook$;Location=&quot;182189272667_04&quot;;Extended Properties=&quot;&quot;" commandType="0"/>
  </connection>
  <connection id="20" xr16:uid="{2363B81D-69B0-4074-85D4-8AE74C7B5CEA}" keepAlive="1" name="Connection1014" type="5" refreshedVersion="0" background="1">
    <dbPr connection="Provider=Microsoft.Mashup.OleDb.1;Data Source=$Workbook$;Location=&quot;182189272678_04&quot;;Extended Properties=&quot;&quot;" commandType="0"/>
  </connection>
  <connection id="21" xr16:uid="{D7EE5F1A-6096-4A92-9016-847ACB3966C6}" keepAlive="1" name="Connection1015" type="5" refreshedVersion="0" background="1">
    <dbPr connection="Provider=Microsoft.Mashup.OleDb.1;Data Source=$Workbook$;Location=&quot;392794148867_04&quot;;Extended Properties=&quot;&quot;" commandType="0"/>
  </connection>
  <connection id="22" xr16:uid="{BCD9B0F5-A601-46C9-8B51-E115AE058270}" keepAlive="1" name="Connection1016" type="5" refreshedVersion="0" background="1">
    <dbPr connection="Provider=Microsoft.Mashup.OleDb.1;Data Source=$Workbook$;Location=&quot;392827189553_04&quot;;Extended Properties=&quot;&quot;" commandType="0"/>
  </connection>
  <connection id="23" xr16:uid="{561043BA-9752-40CD-9836-CE63F4A526A4}" keepAlive="1" name="Connection1017" type="5" refreshedVersion="0" background="1">
    <dbPr connection="Provider=Microsoft.Mashup.OleDb.1;Data Source=$Workbook$;Location=&quot;393038813192_04&quot;;Extended Properties=&quot;&quot;" commandType="0"/>
  </connection>
  <connection id="24" xr16:uid="{7EA8C7C8-C1D6-4F99-92B7-1EFC69112581}" keepAlive="1" name="Connection1018" type="5" refreshedVersion="0" background="1">
    <dbPr connection="Provider=Microsoft.Mashup.OleDb.1;Data Source=$Workbook$;Location=&quot;456152217992014_04&quot;;Extended Properties=&quot;&quot;" commandType="0"/>
  </connection>
  <connection id="25" xr16:uid="{0597A459-DBD3-4BCF-B803-C003086D1184}" keepAlive="1" name="Connection1019" type="5" refreshedVersion="0" background="1">
    <dbPr connection="Provider=Microsoft.Mashup.OleDb.1;Data Source=$Workbook$;Location=&quot;181448136120_04&quot;;Extended Properties=&quot;&quot;" commandType="0"/>
  </connection>
  <connection id="26" xr16:uid="{DE3A9B1C-92F0-4E7A-A042-D4AC8E92A8EC}" keepAlive="1" name="Connection102" type="5" refreshedVersion="0" background="1">
    <dbPr connection="Provider=Microsoft.Mashup.OleDb.1;Data Source=$Workbook$;Location=&quot;123578321012_01&quot;;Extended Properties=&quot;&quot;" commandType="0"/>
  </connection>
  <connection id="27" xr16:uid="{A85BE80C-21E0-497A-9CC4-3CDE9FC8A3D2}" keepAlive="1" name="Connection1020" type="5" refreshedVersion="0" background="1">
    <dbPr connection="Provider=Microsoft.Mashup.OleDb.1;Data Source=$Workbook$;Location=&quot;184450692101_04&quot;;Extended Properties=&quot;&quot;" commandType="0"/>
  </connection>
  <connection id="28" xr16:uid="{8A8586E7-E580-45F0-9EEE-29144EABE5B6}" keepAlive="1" name="Connection1021" type="5" refreshedVersion="0" background="1">
    <dbPr connection="Provider=Microsoft.Mashup.OleDb.1;Data Source=$Workbook$;Location=&quot;392425128466_04&quot;;Extended Properties=&quot;&quot;" commandType="0"/>
  </connection>
  <connection id="29" xr16:uid="{71518EFC-4A9B-433C-BDE1-6D29DAB99B00}" keepAlive="1" name="Connection1022" type="5" refreshedVersion="0" background="1">
    <dbPr connection="Provider=Microsoft.Mashup.OleDb.1;Data Source=$Workbook$;Location=&quot;393359434656_04&quot;;Extended Properties=&quot;&quot;" commandType="0"/>
  </connection>
  <connection id="30" xr16:uid="{BBCC9342-C750-4082-9438-DBF4765892E9}" keepAlive="1" name="Connection1023" type="5" refreshedVersion="0" saveData="1">
    <dbPr connection="Provider=Microsoft.Mashup.OleDb.1;Data Source=$Workbook$;Location=&quot;182189272645_04&quot;;Extended Properties=&quot;&quot;" commandType="0"/>
  </connection>
  <connection id="31" xr16:uid="{63EA454A-E615-43E1-930F-FD3E5F44809E}" keepAlive="1" name="Connection1024" type="5" refreshedVersion="0" background="1">
    <dbPr connection="Provider=Microsoft.Mashup.OleDb.1;Data Source=$Workbook$;Location=&quot;182189272667_04&quot;;Extended Properties=&quot;&quot;" commandType="0"/>
  </connection>
  <connection id="32" xr16:uid="{D67A907D-DD30-46B2-A8D1-9F7C3B6B303D}" keepAlive="1" name="Connection1025" type="5" refreshedVersion="0" background="1">
    <dbPr connection="Provider=Microsoft.Mashup.OleDb.1;Data Source=$Workbook$;Location=&quot;182189272678_04&quot;;Extended Properties=&quot;&quot;" commandType="0"/>
  </connection>
  <connection id="33" xr16:uid="{145E6023-1875-4952-AC5A-511DCE766549}" keepAlive="1" name="Connection1026" type="5" refreshedVersion="0" background="1">
    <dbPr connection="Provider=Microsoft.Mashup.OleDb.1;Data Source=$Workbook$;Location=&quot;393382267710_04&quot;;Extended Properties=&quot;&quot;" commandType="0"/>
  </connection>
  <connection id="34" xr16:uid="{832F7B83-6443-44D5-BF18-4FB9A015FEDB}" keepAlive="1" name="Connection1027" type="5" refreshedVersion="0" background="1">
    <dbPr connection="Provider=Microsoft.Mashup.OleDb.1;Data Source=$Workbook$;Location=&quot;463131313574041_04&quot;;Extended Properties=&quot;&quot;" commandType="0"/>
  </connection>
  <connection id="35" xr16:uid="{41B90298-75BD-4729-93A1-37E0E3C95978}" keepAlive="1" name="Connection1028" type="5" refreshedVersion="0" background="1">
    <dbPr connection="Provider=Microsoft.Mashup.OleDb.1;Data Source=$Workbook$;Location=&quot;392955884141_04&quot;;Extended Properties=&quot;&quot;" commandType="0"/>
  </connection>
  <connection id="36" xr16:uid="{95EAC8B7-B19C-434F-A250-CB7ADA74D362}" keepAlive="1" name="Connection1029" type="5" refreshedVersion="0" background="1">
    <dbPr connection="Provider=Microsoft.Mashup.OleDb.1;Data Source=$Workbook$;Location=&quot;174764929123_04&quot;;Extended Properties=&quot;&quot;" commandType="0"/>
  </connection>
  <connection id="37" xr16:uid="{90946D72-3F84-454C-AF19-8B96E22598BA}" keepAlive="1" name="Connection103" type="5" refreshedVersion="0" background="1">
    <dbPr connection="Provider=Microsoft.Mashup.OleDb.1;Data Source=$Workbook$;Location=&quot;123578321012_04&quot;;Extended Properties=&quot;&quot;" commandType="0"/>
  </connection>
  <connection id="38" xr16:uid="{E40F3A0F-569B-40A4-A9E9-76B0CB405C5F}" keepAlive="1" name="Connection1030" type="5" refreshedVersion="0" background="1">
    <dbPr connection="Provider=Microsoft.Mashup.OleDb.1;Data Source=$Workbook$;Location=&quot;179460363201_04&quot;;Extended Properties=&quot;&quot;" commandType="0"/>
  </connection>
  <connection id="39" xr16:uid="{BC58D34A-2AE6-4F67-8C62-87D1606B61B3}" keepAlive="1" name="Connection1031" type="5" refreshedVersion="0" background="1">
    <dbPr connection="Provider=Microsoft.Mashup.OleDb.1;Data Source=$Workbook$;Location=&quot;393257556371_04&quot;;Extended Properties=&quot;&quot;" commandType="0"/>
  </connection>
  <connection id="40" xr16:uid="{1D554785-0239-4252-8B6F-0F01077FAA4D}" keepAlive="1" name="Connection1032" type="5" refreshedVersion="0" background="1">
    <dbPr connection="Provider=Microsoft.Mashup.OleDb.1;Data Source=$Workbook$;Location=&quot;910964101556997_04&quot;;Extended Properties=&quot;&quot;" commandType="0"/>
  </connection>
  <connection id="41" xr16:uid="{876951EA-0A1E-4F65-8A96-B62A223DC2E8}" keepAlive="1" name="Connection1033" type="5" refreshedVersion="0" background="1">
    <dbPr connection="Provider=Microsoft.Mashup.OleDb.1;Data Source=$Workbook$;Location=&quot;541625210362858_04&quot;;Extended Properties=&quot;&quot;" commandType="0"/>
  </connection>
  <connection id="42" xr16:uid="{A843E7AF-8B2C-4D62-B95F-A399BF9CA8BE}" keepAlive="1" name="Connection1034" type="5" refreshedVersion="0" background="1">
    <dbPr connection="Provider=Microsoft.Mashup.OleDb.1;Data Source=$Workbook$;Location=&quot;393521604363_04&quot;;Extended Properties=&quot;&quot;" commandType="0"/>
  </connection>
  <connection id="43" xr16:uid="{1839C2B9-CE6C-44E1-9520-305FE0E6D4AB}" keepAlive="1" name="Connection1035" type="5" refreshedVersion="0" background="1">
    <dbPr connection="Provider=Microsoft.Mashup.OleDb.1;Data Source=$Workbook$;Location=&quot;393070604806_04&quot;;Extended Properties=&quot;&quot;" commandType="0"/>
  </connection>
  <connection id="44" xr16:uid="{6FB5DD76-96CC-4AE9-ABBA-0C6D70490775}" keepAlive="1" name="Connection1036" type="5" refreshedVersion="0" background="1">
    <dbPr connection="Provider=Microsoft.Mashup.OleDb.1;Data Source=$Workbook$;Location=&quot;393693697616_04&quot;;Extended Properties=&quot;&quot;" commandType="0"/>
  </connection>
  <connection id="45" xr16:uid="{CE45003E-47B8-4BA2-BA18-324B87A7998A}" keepAlive="1" name="Connection1037" type="5" refreshedVersion="0" background="1">
    <dbPr connection="Provider=Microsoft.Mashup.OleDb.1;Data Source=$Workbook$;Location=&quot;770599184651_04&quot;;Extended Properties=&quot;&quot;" commandType="0"/>
  </connection>
  <connection id="46" xr16:uid="{48F1B15B-9199-44E6-BCFF-B74C02EDC6BC}" keepAlive="1" name="Connection1038" type="5" refreshedVersion="0" saveData="1">
    <dbPr connection="Provider=Microsoft.Mashup.OleDb.1;Data Source=$Workbook$;Location=&quot;770599184651_04&quot;;Extended Properties=&quot;&quot;" commandType="0"/>
  </connection>
  <connection id="47" xr16:uid="{2A752F65-6A75-4827-9B01-4449FA8E8628}" keepAlive="1" name="Connection1039" type="5" refreshedVersion="0" saveData="1">
    <dbPr connection="Provider=Microsoft.Mashup.OleDb.1;Data Source=$Workbook$;Location=&quot;181867314220_01&quot;;Extended Properties=&quot;&quot;" commandType="0"/>
  </connection>
  <connection id="48" xr16:uid="{E71CC2BE-4B56-415D-8EC9-D1BC0FC983A5}" keepAlive="1" name="Connection104" type="5" refreshedVersion="0" background="1">
    <dbPr connection="Provider=Microsoft.Mashup.OleDb.1;Data Source=$Workbook$;Location=&quot;123578321012_01&quot;;Extended Properties=&quot;&quot;" commandType="0"/>
  </connection>
  <connection id="49" xr16:uid="{7CB233E5-84E1-4481-AE77-660A9DAA268E}" keepAlive="1" name="Connection1040" type="5" refreshedVersion="0" background="1">
    <dbPr connection="Provider=Microsoft.Mashup.OleDb.1;Data Source=$Workbook$;Location=&quot;181867314220_04&quot;;Extended Properties=&quot;&quot;" commandType="0"/>
  </connection>
  <connection id="50" xr16:uid="{40EE290E-50DF-4888-9A77-151A9AB0B816}" keepAlive="1" name="Connection1041" type="5" refreshedVersion="0" background="1">
    <dbPr connection="Provider=Microsoft.Mashup.OleDb.1;Data Source=$Workbook$;Location=&quot;183727270717_01&quot;;Extended Properties=&quot;&quot;" commandType="0"/>
  </connection>
  <connection id="51" xr16:uid="{2F7D154C-367F-4850-9E7F-7670D01660AB}" keepAlive="1" name="Connection1042" type="5" refreshedVersion="0" background="1">
    <dbPr connection="Provider=Microsoft.Mashup.OleDb.1;Data Source=$Workbook$;Location=&quot;183727270717_04&quot;;Extended Properties=&quot;&quot;" commandType="0"/>
  </connection>
  <connection id="52" xr16:uid="{ECE2015D-4AA8-4285-AD63-448C9B17923A}" keepAlive="1" name="Connection1043" type="5" refreshedVersion="0" background="1">
    <dbPr connection="Provider=Microsoft.Mashup.OleDb.1;Data Source=$Workbook$;Location=&quot;392325345130_01&quot;;Extended Properties=&quot;&quot;" commandType="0"/>
  </connection>
  <connection id="53" xr16:uid="{0F57B821-F6AC-49E9-A556-F132502CD58A}" keepAlive="1" name="Connection1044" type="5" refreshedVersion="0" background="1">
    <dbPr connection="Provider=Microsoft.Mashup.OleDb.1;Data Source=$Workbook$;Location=&quot;392325345130_04&quot;;Extended Properties=&quot;&quot;" commandType="0"/>
  </connection>
  <connection id="54" xr16:uid="{D0BD1E13-FBFD-4032-B650-638E9C729197}" keepAlive="1" name="Connection1045" type="5" refreshedVersion="0" background="1">
    <dbPr connection="Provider=Microsoft.Mashup.OleDb.1;Data Source=$Workbook$;Location=&quot;184893136763_01&quot;;Extended Properties=&quot;&quot;" commandType="0"/>
  </connection>
  <connection id="55" xr16:uid="{6A8AAFFC-9160-4D52-986D-0F2CB4B55456}" keepAlive="1" name="Connection1046" type="5" refreshedVersion="0" background="1">
    <dbPr connection="Provider=Microsoft.Mashup.OleDb.1;Data Source=$Workbook$;Location=&quot;184893136763_04&quot;;Extended Properties=&quot;&quot;" commandType="0"/>
  </connection>
  <connection id="56" xr16:uid="{39D67D27-6042-4FB5-91F7-A79E28A0080B}" keepAlive="1" name="Connection1047" type="5" refreshedVersion="0" background="1">
    <dbPr connection="Provider=Microsoft.Mashup.OleDb.1;Data Source=$Workbook$;Location=&quot;392385150633_01&quot;;Extended Properties=&quot;&quot;" commandType="0"/>
  </connection>
  <connection id="57" xr16:uid="{FA3A78F5-AB8C-4A10-9220-534717E9B149}" keepAlive="1" name="Connection1048" type="5" refreshedVersion="0" background="1">
    <dbPr connection="Provider=Microsoft.Mashup.OleDb.1;Data Source=$Workbook$;Location=&quot;392385150633_04&quot;;Extended Properties=&quot;&quot;" commandType="0"/>
  </connection>
  <connection id="58" xr16:uid="{DB10DFA4-9210-4E31-9AD8-04F53AD21018}" keepAlive="1" name="Connection1049" type="5" refreshedVersion="0" background="1">
    <dbPr connection="Provider=Microsoft.Mashup.OleDb.1;Data Source=$Workbook$;Location=&quot;392476571549_01&quot;;Extended Properties=&quot;&quot;" commandType="0"/>
  </connection>
  <connection id="59" xr16:uid="{6E840433-E9D5-48B3-92D8-36076A906DCA}" keepAlive="1" name="Connection105" type="5" refreshedVersion="0" background="1">
    <dbPr connection="Provider=Microsoft.Mashup.OleDb.1;Data Source=$Workbook$;Location=&quot;123578321012_04&quot;;Extended Properties=&quot;&quot;" commandType="0"/>
  </connection>
  <connection id="60" xr16:uid="{FFDFC2C1-9C8D-494B-B4F8-BD2CF473FA69}" keepAlive="1" name="Connection1050" type="5" refreshedVersion="0" background="1">
    <dbPr connection="Provider=Microsoft.Mashup.OleDb.1;Data Source=$Workbook$;Location=&quot;392476571549_04&quot;;Extended Properties=&quot;&quot;" commandType="0"/>
  </connection>
  <connection id="61" xr16:uid="{6D0CBC58-43ED-4BE1-B490-79886225803E}" keepAlive="1" name="Connection1051" type="5" refreshedVersion="0" background="1">
    <dbPr connection="Provider=Microsoft.Mashup.OleDb.1;Data Source=$Workbook$;Location=&quot;392577090469_01&quot;;Extended Properties=&quot;&quot;" commandType="0"/>
  </connection>
  <connection id="62" xr16:uid="{DD4C26BF-CCED-450B-8440-5178C6B0C59B}" keepAlive="1" name="Connection1052" type="5" refreshedVersion="0" background="1">
    <dbPr connection="Provider=Microsoft.Mashup.OleDb.1;Data Source=$Workbook$;Location=&quot;392577090469_04&quot;;Extended Properties=&quot;&quot;" commandType="0"/>
  </connection>
  <connection id="63" xr16:uid="{50191BD5-1776-425D-A8EE-A3B7FBBE6B86}" keepAlive="1" name="Connection1053" type="5" refreshedVersion="0" background="1">
    <dbPr connection="Provider=Microsoft.Mashup.OleDb.1;Data Source=$Workbook$;Location=&quot;010604363233586_01&quot;;Extended Properties=&quot;&quot;" commandType="0"/>
  </connection>
  <connection id="64" xr16:uid="{A7FC08CC-2A9A-42C4-85E5-CA1CE8834884}" keepAlive="1" name="Connection1054" type="5" refreshedVersion="0" background="1">
    <dbPr connection="Provider=Microsoft.Mashup.OleDb.1;Data Source=$Workbook$;Location=&quot;010604363233586_04&quot;;Extended Properties=&quot;&quot;" commandType="0"/>
  </connection>
  <connection id="65" xr16:uid="{9852842E-3958-4433-BE20-98B5E6B70E23}" keepAlive="1" name="Connection1055" type="5" refreshedVersion="0" background="1">
    <dbPr connection="Provider=Microsoft.Mashup.OleDb.1;Data Source=$Workbook$;Location=&quot;176842660247_01&quot;;Extended Properties=&quot;&quot;" commandType="0"/>
  </connection>
  <connection id="66" xr16:uid="{4F50A797-8E5D-437D-9822-B28A29A9CAC8}" keepAlive="1" name="Connection1056" type="5" refreshedVersion="0" background="1">
    <dbPr connection="Provider=Microsoft.Mashup.OleDb.1;Data Source=$Workbook$;Location=&quot;176842660247_04&quot;;Extended Properties=&quot;&quot;" commandType="0"/>
  </connection>
  <connection id="67" xr16:uid="{036093CE-7EA5-4E7C-9D62-039F946B07CD}" keepAlive="1" name="Connection1057" type="5" refreshedVersion="0" background="1">
    <dbPr connection="Provider=Microsoft.Mashup.OleDb.1;Data Source=$Workbook$;Location=&quot;392215682460_01&quot;;Extended Properties=&quot;&quot;" commandType="0"/>
  </connection>
  <connection id="68" xr16:uid="{B097311A-05CC-4ADB-AFA8-76C0ADAD7DDE}" keepAlive="1" name="Connection1058" type="5" refreshedVersion="0" background="1">
    <dbPr connection="Provider=Microsoft.Mashup.OleDb.1;Data Source=$Workbook$;Location=&quot;392215682460_04&quot;;Extended Properties=&quot;&quot;" commandType="0"/>
  </connection>
  <connection id="69" xr16:uid="{51968CCC-ABB3-47F2-A5A2-9936F9C4BC55}" keepAlive="1" name="Connection1059" type="5" refreshedVersion="0" background="1">
    <dbPr connection="Provider=Microsoft.Mashup.OleDb.1;Data Source=$Workbook$;Location=&quot;168903123121_01&quot;;Extended Properties=&quot;&quot;" commandType="0"/>
  </connection>
  <connection id="70" xr16:uid="{2FC9F905-12DA-430A-A0AD-0890859DB629}" keepAlive="1" name="Connection106" type="5" refreshedVersion="0" background="1">
    <dbPr connection="Provider=Microsoft.Mashup.OleDb.1;Data Source=$Workbook$;Location=&quot;123578321012_01&quot;;Extended Properties=&quot;&quot;" commandType="0"/>
  </connection>
  <connection id="71" xr16:uid="{3319784E-4760-45E1-8364-E849B5C0FA9D}" keepAlive="1" name="Connection1060" type="5" refreshedVersion="0" background="1">
    <dbPr connection="Provider=Microsoft.Mashup.OleDb.1;Data Source=$Workbook$;Location=&quot;168903123121_04&quot;;Extended Properties=&quot;&quot;" commandType="0"/>
  </connection>
  <connection id="72" xr16:uid="{4B4D579B-38C0-41F9-8893-C9DD06D683D0}" keepAlive="1" name="Connection1061" type="5" refreshedVersion="0" background="1">
    <dbPr connection="Provider=Microsoft.Mashup.OleDb.1;Data Source=$Workbook$;Location=&quot;176050599917_01&quot;;Extended Properties=&quot;&quot;" commandType="0"/>
  </connection>
  <connection id="73" xr16:uid="{D8463BDC-3132-4252-84ED-88A4EF8C6632}" keepAlive="1" name="Connection1062" type="5" refreshedVersion="0" background="1">
    <dbPr connection="Provider=Microsoft.Mashup.OleDb.1;Data Source=$Workbook$;Location=&quot;176050599917_04&quot;;Extended Properties=&quot;&quot;" commandType="0"/>
  </connection>
  <connection id="74" xr16:uid="{8EB9711F-E51D-4D44-A766-0209C45E8FC8}" keepAlive="1" name="Connection1063" type="5" refreshedVersion="0" background="1">
    <dbPr connection="Provider=Microsoft.Mashup.OleDb.1;Data Source=$Workbook$;Location=&quot;298497815196838_01&quot;;Extended Properties=&quot;&quot;" commandType="0"/>
  </connection>
  <connection id="75" xr16:uid="{FA25A148-C655-43E8-BB3B-86CF669062C4}" keepAlive="1" name="Connection1064" type="5" refreshedVersion="0" background="1">
    <dbPr connection="Provider=Microsoft.Mashup.OleDb.1;Data Source=$Workbook$;Location=&quot;298497815196838_04&quot;;Extended Properties=&quot;&quot;" commandType="0"/>
  </connection>
  <connection id="76" xr16:uid="{1B8AF3A8-C0AD-4566-887D-6D206C29514C}" keepAlive="1" name="Connection1065" type="5" refreshedVersion="0" background="1">
    <dbPr connection="Provider=Microsoft.Mashup.OleDb.1;Data Source=$Workbook$;Location=&quot;392412542541_01&quot;;Extended Properties=&quot;&quot;" commandType="0"/>
  </connection>
  <connection id="77" xr16:uid="{D6E2429C-2C8F-45B5-B905-4D88198CCC10}" keepAlive="1" name="Connection1066" type="5" refreshedVersion="0" background="1">
    <dbPr connection="Provider=Microsoft.Mashup.OleDb.1;Data Source=$Workbook$;Location=&quot;392412542541_04&quot;;Extended Properties=&quot;&quot;" commandType="0"/>
  </connection>
  <connection id="78" xr16:uid="{8799C14C-8226-430C-8CA5-21573929DCD4}" keepAlive="1" name="Connection1067" type="5" refreshedVersion="0" background="1">
    <dbPr connection="Provider=Microsoft.Mashup.OleDb.1;Data Source=$Workbook$;Location=&quot;392412613066_01&quot;;Extended Properties=&quot;&quot;" commandType="0"/>
  </connection>
  <connection id="79" xr16:uid="{32F2FA69-6B43-4C42-AC8E-01C0451819E6}" keepAlive="1" name="Connection1068" type="5" refreshedVersion="0" background="1">
    <dbPr connection="Provider=Microsoft.Mashup.OleDb.1;Data Source=$Workbook$;Location=&quot;392412613066_04&quot;;Extended Properties=&quot;&quot;" commandType="0"/>
  </connection>
  <connection id="80" xr16:uid="{52E646E1-0855-4BDE-BE2A-20E516D2E368}" keepAlive="1" name="Connection1069" type="5" refreshedVersion="0" background="1">
    <dbPr connection="Provider=Microsoft.Mashup.OleDb.1;Data Source=$Workbook$;Location=&quot;392841234406_01&quot;;Extended Properties=&quot;&quot;" commandType="0"/>
  </connection>
  <connection id="81" xr16:uid="{542EDE11-42B0-4E90-9283-F56198DA0B8F}" keepAlive="1" name="Connection107" type="5" refreshedVersion="0" background="1">
    <dbPr connection="Provider=Microsoft.Mashup.OleDb.1;Data Source=$Workbook$;Location=&quot;123578321012_04&quot;;Extended Properties=&quot;&quot;" commandType="0"/>
  </connection>
  <connection id="82" xr16:uid="{8BEE30C2-9847-420C-9718-9E2863382153}" keepAlive="1" name="Connection1070" type="5" refreshedVersion="0" background="1">
    <dbPr connection="Provider=Microsoft.Mashup.OleDb.1;Data Source=$Workbook$;Location=&quot;392841234406_04&quot;;Extended Properties=&quot;&quot;" commandType="0"/>
  </connection>
  <connection id="83" xr16:uid="{226C63E9-15FB-4807-82D7-F2B7FC751662}" keepAlive="1" name="Connection1071" type="5" refreshedVersion="0" background="1">
    <dbPr connection="Provider=Microsoft.Mashup.OleDb.1;Data Source=$Workbook$;Location=&quot;392860719861_01&quot;;Extended Properties=&quot;&quot;" commandType="0"/>
  </connection>
  <connection id="84" xr16:uid="{0C0FAD68-B8A1-480B-8822-F5C5FCD18641}" keepAlive="1" name="Connection1072" type="5" refreshedVersion="0" background="1">
    <dbPr connection="Provider=Microsoft.Mashup.OleDb.1;Data Source=$Workbook$;Location=&quot;392860719861_04&quot;;Extended Properties=&quot;&quot;" commandType="0"/>
  </connection>
  <connection id="85" xr16:uid="{03655931-CFBE-4175-9C48-DCE49A6D0AF4}" keepAlive="1" name="Connection1073" type="5" refreshedVersion="0" background="1">
    <dbPr connection="Provider=Microsoft.Mashup.OleDb.1;Data Source=$Workbook$;Location=&quot;392962109274_01&quot;;Extended Properties=&quot;&quot;" commandType="0"/>
  </connection>
  <connection id="86" xr16:uid="{60B179EE-125E-40C3-A8CB-3749F28DD9C5}" keepAlive="1" name="Connection1074" type="5" refreshedVersion="0" background="1">
    <dbPr connection="Provider=Microsoft.Mashup.OleDb.1;Data Source=$Workbook$;Location=&quot;392962109274_04&quot;;Extended Properties=&quot;&quot;" commandType="0"/>
  </connection>
  <connection id="87" xr16:uid="{E407C984-5A3F-4931-978A-FA8224B9E0F4}" keepAlive="1" name="Connection1075" type="5" refreshedVersion="0" background="1">
    <dbPr connection="Provider=Microsoft.Mashup.OleDb.1;Data Source=$Workbook$;Location=&quot;178055966428_01&quot;;Extended Properties=&quot;&quot;" commandType="0"/>
  </connection>
  <connection id="88" xr16:uid="{0BE9C161-976E-408A-BF0A-60E892C4F3D1}" keepAlive="1" name="Connection1076" type="5" refreshedVersion="0" background="1">
    <dbPr connection="Provider=Microsoft.Mashup.OleDb.1;Data Source=$Workbook$;Location=&quot;178055966428_04&quot;;Extended Properties=&quot;&quot;" commandType="0"/>
  </connection>
  <connection id="89" xr16:uid="{0D4F398D-9482-49BB-8E22-F401488BD31C}" keepAlive="1" name="Connection1077" type="5" refreshedVersion="0" background="1">
    <dbPr connection="Provider=Microsoft.Mashup.OleDb.1;Data Source=$Workbook$;Location=&quot;392291823436_01&quot;;Extended Properties=&quot;&quot;" commandType="0"/>
  </connection>
  <connection id="90" xr16:uid="{8D1C50FB-77F3-4014-AC88-97F1E343580D}" keepAlive="1" name="Connection1078" type="5" refreshedVersion="0" background="1">
    <dbPr connection="Provider=Microsoft.Mashup.OleDb.1;Data Source=$Workbook$;Location=&quot;392291823436_04&quot;;Extended Properties=&quot;&quot;" commandType="0"/>
  </connection>
  <connection id="91" xr16:uid="{4647EF00-58EF-40A0-940A-29E76F5E8C08}" keepAlive="1" name="Connection1079" type="5" refreshedVersion="0" background="1">
    <dbPr connection="Provider=Microsoft.Mashup.OleDb.1;Data Source=$Workbook$;Location=&quot;392375776250_01&quot;;Extended Properties=&quot;&quot;" commandType="0"/>
  </connection>
  <connection id="92" xr16:uid="{2B321754-1B7A-4F33-AB03-47314361ED5B}" keepAlive="1" name="Connection108" type="5" refreshedVersion="0" background="1">
    <dbPr connection="Provider=Microsoft.Mashup.OleDb.1;Data Source=$Workbook$;Location=&quot;123578321012_01&quot;;Extended Properties=&quot;&quot;" commandType="0"/>
  </connection>
  <connection id="93" xr16:uid="{D7884430-8652-4D79-8828-CC58E138346C}" keepAlive="1" name="Connection1080" type="5" refreshedVersion="0" background="1">
    <dbPr connection="Provider=Microsoft.Mashup.OleDb.1;Data Source=$Workbook$;Location=&quot;392375776250_04&quot;;Extended Properties=&quot;&quot;" commandType="0"/>
  </connection>
  <connection id="94" xr16:uid="{147AE802-AA9F-4147-BA51-0F566DEF5016}" keepAlive="1" name="Connection1081" type="5" refreshedVersion="0" background="1">
    <dbPr connection="Provider=Microsoft.Mashup.OleDb.1;Data Source=$Workbook$;Location=&quot;392395916722_01&quot;;Extended Properties=&quot;&quot;" commandType="0"/>
  </connection>
  <connection id="95" xr16:uid="{D1BAA143-16CF-4949-8A7F-EE829A00F73C}" keepAlive="1" name="Connection1082" type="5" refreshedVersion="0" background="1">
    <dbPr connection="Provider=Microsoft.Mashup.OleDb.1;Data Source=$Workbook$;Location=&quot;392395916722_04&quot;;Extended Properties=&quot;&quot;" commandType="0"/>
  </connection>
  <connection id="96" xr16:uid="{6BC4B712-9A98-4FEA-BAEA-BAC206D68037}" keepAlive="1" name="Connection1083" type="5" refreshedVersion="0" background="1">
    <dbPr connection="Provider=Microsoft.Mashup.OleDb.1;Data Source=$Workbook$;Location=&quot;392725459932_01&quot;;Extended Properties=&quot;&quot;" commandType="0"/>
  </connection>
  <connection id="97" xr16:uid="{D935C0DE-0706-44E7-A06D-3FA5FDC8A19B}" keepAlive="1" name="Connection1084" type="5" refreshedVersion="0" background="1">
    <dbPr connection="Provider=Microsoft.Mashup.OleDb.1;Data Source=$Workbook$;Location=&quot;392725459932_04&quot;;Extended Properties=&quot;&quot;" commandType="0"/>
  </connection>
  <connection id="98" xr16:uid="{B270978D-E806-4545-80B8-C7E895F4CC1F}" keepAlive="1" name="Connection1085" type="5" refreshedVersion="0" background="1">
    <dbPr connection="Provider=Microsoft.Mashup.OleDb.1;Data Source=$Workbook$;Location=&quot;392781947120_01&quot;;Extended Properties=&quot;&quot;" commandType="0"/>
  </connection>
  <connection id="99" xr16:uid="{5D48D9CE-81A3-47DD-B3BC-77A251FE90C1}" keepAlive="1" name="Connection1086" type="5" refreshedVersion="0" background="1">
    <dbPr connection="Provider=Microsoft.Mashup.OleDb.1;Data Source=$Workbook$;Location=&quot;392781947120_04&quot;;Extended Properties=&quot;&quot;" commandType="0"/>
  </connection>
  <connection id="100" xr16:uid="{03BC481B-B371-468F-9220-3A9F9FF820AC}" keepAlive="1" name="Connection1087" type="5" refreshedVersion="0" background="1">
    <dbPr connection="Provider=Microsoft.Mashup.OleDb.1;Data Source=$Workbook$;Location=&quot;770378275818_01&quot;;Extended Properties=&quot;&quot;" commandType="0"/>
  </connection>
  <connection id="101" xr16:uid="{8FFCFD17-3E27-4FF9-A094-4295FCB64FC3}" keepAlive="1" name="Connection1088" type="5" refreshedVersion="0" background="1">
    <dbPr connection="Provider=Microsoft.Mashup.OleDb.1;Data Source=$Workbook$;Location=&quot;770378275818_04&quot;;Extended Properties=&quot;&quot;" commandType="0"/>
  </connection>
  <connection id="102" xr16:uid="{D9070253-F84A-4CA2-AE54-266FF72D669A}" keepAlive="1" name="Connection1089" type="5" refreshedVersion="0" background="1">
    <dbPr connection="Provider=Microsoft.Mashup.OleDb.1;Data Source=$Workbook$;Location=&quot;981345817590778_01&quot;;Extended Properties=&quot;&quot;" commandType="0"/>
  </connection>
  <connection id="103" xr16:uid="{3A7C4995-73A1-495D-8B21-E0CEE0AE8543}" keepAlive="1" name="Connection109" type="5" refreshedVersion="0" background="1">
    <dbPr connection="Provider=Microsoft.Mashup.OleDb.1;Data Source=$Workbook$;Location=&quot;123578321012_04&quot;;Extended Properties=&quot;&quot;" commandType="0"/>
  </connection>
  <connection id="104" xr16:uid="{822B72D0-EF7A-475C-982F-7678D0F701C3}" keepAlive="1" name="Connection1090" type="5" refreshedVersion="0" background="1">
    <dbPr connection="Provider=Microsoft.Mashup.OleDb.1;Data Source=$Workbook$;Location=&quot;981345817590778_04&quot;;Extended Properties=&quot;&quot;" commandType="0"/>
  </connection>
  <connection id="105" xr16:uid="{435B9761-190B-4C81-B3B4-5DF656CCB0B8}" keepAlive="1" name="Connection1091" type="5" refreshedVersion="0" background="1">
    <dbPr connection="Provider=Microsoft.Mashup.OleDb.1;Data Source=$Workbook$;Location=&quot;392776792367_01&quot;;Extended Properties=&quot;&quot;" commandType="0"/>
  </connection>
  <connection id="106" xr16:uid="{E9D09CB8-8DBE-4F82-89D3-54BF3BB3474D}" keepAlive="1" name="Connection1092" type="5" refreshedVersion="0" background="1">
    <dbPr connection="Provider=Microsoft.Mashup.OleDb.1;Data Source=$Workbook$;Location=&quot;392776792367_04&quot;;Extended Properties=&quot;&quot;" commandType="0"/>
  </connection>
  <connection id="107" xr16:uid="{57EBABB3-57F4-41FE-B691-B0A8D9D98169}" keepAlive="1" name="Connection1093" type="5" refreshedVersion="0" background="1">
    <dbPr connection="Provider=Microsoft.Mashup.OleDb.1;Data Source=$Workbook$;Location=&quot;180954005934_01&quot;;Extended Properties=&quot;&quot;" commandType="0"/>
  </connection>
  <connection id="108" xr16:uid="{3E73530F-CE18-4174-BB3D-FE3036C34F83}" keepAlive="1" name="Connection1094" type="5" refreshedVersion="0" background="1">
    <dbPr connection="Provider=Microsoft.Mashup.OleDb.1;Data Source=$Workbook$;Location=&quot;180954005934_04&quot;;Extended Properties=&quot;&quot;" commandType="0"/>
  </connection>
  <connection id="109" xr16:uid="{9FEE61B6-02C5-415A-BCF8-3A0C775065A2}" keepAlive="1" name="Connection1095" type="5" refreshedVersion="0" background="1">
    <dbPr connection="Provider=Microsoft.Mashup.OleDb.1;Data Source=$Workbook$;Location=&quot;391748064144_01&quot;;Extended Properties=&quot;&quot;" commandType="0"/>
  </connection>
  <connection id="110" xr16:uid="{AC7AFCE8-EAD1-4876-AC42-EB1B128E9B57}" keepAlive="1" name="Connection1096" type="5" refreshedVersion="0" background="1">
    <dbPr connection="Provider=Microsoft.Mashup.OleDb.1;Data Source=$Workbook$;Location=&quot;391748064144_04&quot;;Extended Properties=&quot;&quot;" commandType="0"/>
  </connection>
  <connection id="111" xr16:uid="{395D5A20-7754-4B21-8FA2-4A201C3F1B79}" keepAlive="1" name="Connection1097" type="5" refreshedVersion="0" background="1">
    <dbPr connection="Provider=Microsoft.Mashup.OleDb.1;Data Source=$Workbook$;Location=&quot;392375832091_01&quot;;Extended Properties=&quot;&quot;" commandType="0"/>
  </connection>
  <connection id="112" xr16:uid="{547EE442-B157-4893-BEB4-42813E7C3DE2}" keepAlive="1" name="Connection1098" type="5" refreshedVersion="0" background="1">
    <dbPr connection="Provider=Microsoft.Mashup.OleDb.1;Data Source=$Workbook$;Location=&quot;392375832091_04&quot;;Extended Properties=&quot;&quot;" commandType="0"/>
  </connection>
  <connection id="113" xr16:uid="{77A785EF-7E3F-4346-B81F-C4FD52C6E069}" keepAlive="1" name="Connection1099" type="5" refreshedVersion="0" background="1">
    <dbPr connection="Provider=Microsoft.Mashup.OleDb.1;Data Source=$Workbook$;Location=&quot;392526763452_01&quot;;Extended Properties=&quot;&quot;" commandType="0"/>
  </connection>
  <connection id="114" xr16:uid="{C5A58F81-89E2-4B10-B247-183E2DD4C7B2}" keepAlive="1" name="Connection11" type="5" refreshedVersion="0" background="1">
    <dbPr connection="Provider=Microsoft.Mashup.OleDb.1;Data Source=$Workbook$;Location=&quot;391174969303&quot;;Extended Properties=&quot;&quot;" commandType="0"/>
  </connection>
  <connection id="115" xr16:uid="{43D3261B-4815-4ACA-B377-247FD68D61B0}" keepAlive="1" name="Connection110" type="5" refreshedVersion="0" background="1">
    <dbPr connection="Provider=Microsoft.Mashup.OleDb.1;Data Source=$Workbook$;Location=&quot;123578321012_01&quot;;Extended Properties=&quot;&quot;" commandType="0"/>
  </connection>
  <connection id="116" xr16:uid="{4CF2A82C-B26D-4FB7-8CB5-98FE28BEAE4E}" keepAlive="1" name="Connection1100" type="5" refreshedVersion="0" background="1">
    <dbPr connection="Provider=Microsoft.Mashup.OleDb.1;Data Source=$Workbook$;Location=&quot;392526763452_04&quot;;Extended Properties=&quot;&quot;" commandType="0"/>
  </connection>
  <connection id="117" xr16:uid="{B2F1164F-D3EC-4119-AB13-209D87076061}" keepAlive="1" name="Connection1101" type="5" refreshedVersion="0" background="1">
    <dbPr connection="Provider=Microsoft.Mashup.OleDb.1;Data Source=$Workbook$;Location=&quot;392860960441_01&quot;;Extended Properties=&quot;&quot;" commandType="0"/>
  </connection>
  <connection id="118" xr16:uid="{1F001E4E-C615-44E1-84A7-E66EE576A2C0}" keepAlive="1" name="Connection1102" type="5" refreshedVersion="0" background="1">
    <dbPr connection="Provider=Microsoft.Mashup.OleDb.1;Data Source=$Workbook$;Location=&quot;392860960441_04&quot;;Extended Properties=&quot;&quot;" commandType="0"/>
  </connection>
  <connection id="119" xr16:uid="{0964F68E-9407-4C4A-AD2B-AC06084C8558}" keepAlive="1" name="Connection1103" type="5" refreshedVersion="0" background="1">
    <dbPr connection="Provider=Microsoft.Mashup.OleDb.1;Data Source=$Workbook$;Location=&quot;981345817458825_01&quot;;Extended Properties=&quot;&quot;" commandType="0"/>
  </connection>
  <connection id="120" xr16:uid="{87ABFEFE-F349-4484-9500-ADBE56B4DF5F}" keepAlive="1" name="Connection1104" type="5" refreshedVersion="0" background="1">
    <dbPr connection="Provider=Microsoft.Mashup.OleDb.1;Data Source=$Workbook$;Location=&quot;981345817458825_04&quot;;Extended Properties=&quot;&quot;" commandType="0"/>
  </connection>
  <connection id="121" xr16:uid="{3A2D1E17-E888-48EA-B245-B54CADF2F6A3}" keepAlive="1" name="Connection1105" type="5" refreshedVersion="0" background="1">
    <dbPr connection="Provider=Microsoft.Mashup.OleDb.1;Data Source=$Workbook$;Location=&quot;391730017191_01&quot;;Extended Properties=&quot;&quot;" commandType="0"/>
  </connection>
  <connection id="122" xr16:uid="{AFD5289D-5B30-415C-9C09-91AB043140B3}" keepAlive="1" name="Connection1106" type="5" refreshedVersion="0" background="1">
    <dbPr connection="Provider=Microsoft.Mashup.OleDb.1;Data Source=$Workbook$;Location=&quot;391730017191_04&quot;;Extended Properties=&quot;&quot;" commandType="0"/>
  </connection>
  <connection id="123" xr16:uid="{51022FB1-FADE-4B8A-B86E-7FF0B3034EE3}" keepAlive="1" name="Connection1107" type="5" refreshedVersion="0" background="1">
    <dbPr connection="Provider=Microsoft.Mashup.OleDb.1;Data Source=$Workbook$;Location=&quot;392525385585_01&quot;;Extended Properties=&quot;&quot;" commandType="0"/>
  </connection>
  <connection id="124" xr16:uid="{89BAA252-5BA0-4FF8-BAF7-51BAE4035EF1}" keepAlive="1" name="Connection1108" type="5" refreshedVersion="0" background="1">
    <dbPr connection="Provider=Microsoft.Mashup.OleDb.1;Data Source=$Workbook$;Location=&quot;392525385585_04&quot;;Extended Properties=&quot;&quot;" commandType="0"/>
  </connection>
  <connection id="125" xr16:uid="{39898F3D-C463-4616-9770-E46E34D9C384}" keepAlive="1" name="Connection1109" type="5" refreshedVersion="0" background="1">
    <dbPr connection="Provider=Microsoft.Mashup.OleDb.1;Data Source=$Workbook$;Location=&quot;392663527272_01&quot;;Extended Properties=&quot;&quot;" commandType="0"/>
  </connection>
  <connection id="126" xr16:uid="{9AC33353-8DC7-4ED6-BCA1-CA7AFB1F23FB}" keepAlive="1" name="Connection111" type="5" refreshedVersion="0" background="1">
    <dbPr connection="Provider=Microsoft.Mashup.OleDb.1;Data Source=$Workbook$;Location=&quot;123578321012_04&quot;;Extended Properties=&quot;&quot;" commandType="0"/>
  </connection>
  <connection id="127" xr16:uid="{D8C94635-E010-4EEB-BC14-FB3B6CA6C8CD}" keepAlive="1" name="Connection1110" type="5" refreshedVersion="0" background="1">
    <dbPr connection="Provider=Microsoft.Mashup.OleDb.1;Data Source=$Workbook$;Location=&quot;392663527272_04&quot;;Extended Properties=&quot;&quot;" commandType="0"/>
  </connection>
  <connection id="128" xr16:uid="{9E943C76-0778-478E-A286-B12095365395}" keepAlive="1" name="Connection1111" type="5" refreshedVersion="0" background="1">
    <dbPr connection="Provider=Microsoft.Mashup.OleDb.1;Data Source=$Workbook$;Location=&quot;747087177518_01&quot;;Extended Properties=&quot;&quot;" commandType="0"/>
  </connection>
  <connection id="129" xr16:uid="{F5DBF6D4-62BB-4113-A52E-933407007D33}" keepAlive="1" name="Connection1112" type="5" refreshedVersion="0" background="1">
    <dbPr connection="Provider=Microsoft.Mashup.OleDb.1;Data Source=$Workbook$;Location=&quot;747087177518_04&quot;;Extended Properties=&quot;&quot;" commandType="0"/>
  </connection>
  <connection id="130" xr16:uid="{B5A4CA27-49DE-41F5-8662-F72BD2DBAD05}" keepAlive="1" name="Connection1113" type="5" refreshedVersion="0" background="1">
    <dbPr connection="Provider=Microsoft.Mashup.OleDb.1;Data Source=$Workbook$;Location=&quot;981345817630047_01&quot;;Extended Properties=&quot;&quot;" commandType="0"/>
  </connection>
  <connection id="131" xr16:uid="{6A18A7E1-E913-4A4B-981F-1F59B1ED9EBF}" keepAlive="1" name="Connection1114" type="5" refreshedVersion="0" background="1">
    <dbPr connection="Provider=Microsoft.Mashup.OleDb.1;Data Source=$Workbook$;Location=&quot;981345817630047_04&quot;;Extended Properties=&quot;&quot;" commandType="0"/>
  </connection>
  <connection id="132" xr16:uid="{6BAD93F6-515E-4949-8E64-A5DC44593C69}" keepAlive="1" name="Connection1115" type="5" refreshedVersion="0" background="1">
    <dbPr connection="Provider=Microsoft.Mashup.OleDb.1;Data Source=$Workbook$;Location=&quot;123877781742_01&quot;;Extended Properties=&quot;&quot;" commandType="0"/>
  </connection>
  <connection id="133" xr16:uid="{621DC249-606D-4133-804A-52B54CE8E01C}" keepAlive="1" name="Connection1116" type="5" refreshedVersion="0" background="1">
    <dbPr connection="Provider=Microsoft.Mashup.OleDb.1;Data Source=$Workbook$;Location=&quot;123877781742_04&quot;;Extended Properties=&quot;&quot;" commandType="0"/>
  </connection>
  <connection id="134" xr16:uid="{0B9A682F-12E6-4671-9DBB-A2A9A022B67B}" keepAlive="1" name="Connection1117" type="5" refreshedVersion="0" background="1">
    <dbPr connection="Provider=Microsoft.Mashup.OleDb.1;Data Source=$Workbook$;Location=&quot;167154918881_01&quot;;Extended Properties=&quot;&quot;" commandType="0"/>
  </connection>
  <connection id="135" xr16:uid="{2159FD5B-EBD7-4668-B790-F0FA27894D62}" keepAlive="1" name="Connection1118" type="5" refreshedVersion="0" background="1">
    <dbPr connection="Provider=Microsoft.Mashup.OleDb.1;Data Source=$Workbook$;Location=&quot;167154918881_04&quot;;Extended Properties=&quot;&quot;" commandType="0"/>
  </connection>
  <connection id="136" xr16:uid="{EDF516DE-A450-4812-931D-672116E0CA53}" keepAlive="1" name="Connection1119" type="5" refreshedVersion="0" background="1">
    <dbPr connection="Provider=Microsoft.Mashup.OleDb.1;Data Source=$Workbook$;Location=&quot;261248911426321_01&quot;;Extended Properties=&quot;&quot;" commandType="0"/>
  </connection>
  <connection id="137" xr16:uid="{7F1DAC82-1823-4F31-8E5F-3D9A3F713806}" keepAlive="1" name="Connection112" type="5" refreshedVersion="0" background="1">
    <dbPr connection="Provider=Microsoft.Mashup.OleDb.1;Data Source=$Workbook$;Location=&quot;123578321012_01&quot;;Extended Properties=&quot;&quot;" commandType="0"/>
  </connection>
  <connection id="138" xr16:uid="{2C9B5EE8-D2A9-467E-959B-16F0CD98DC31}" keepAlive="1" name="Connection1120" type="5" refreshedVersion="0" background="1">
    <dbPr connection="Provider=Microsoft.Mashup.OleDb.1;Data Source=$Workbook$;Location=&quot;261248911426321_04&quot;;Extended Properties=&quot;&quot;" commandType="0"/>
  </connection>
  <connection id="139" xr16:uid="{1ABB3C2C-C385-4317-93E3-364EFB07F837}" keepAlive="1" name="Connection1121" type="5" refreshedVersion="0" background="1">
    <dbPr connection="Provider=Microsoft.Mashup.OleDb.1;Data Source=$Workbook$;Location=&quot;392361259886_01&quot;;Extended Properties=&quot;&quot;" commandType="0"/>
  </connection>
  <connection id="140" xr16:uid="{AFA00AE3-79E2-456E-898F-6FA55DE3D6B7}" keepAlive="1" name="Connection1122" type="5" refreshedVersion="0" background="1">
    <dbPr connection="Provider=Microsoft.Mashup.OleDb.1;Data Source=$Workbook$;Location=&quot;392361259886_04&quot;;Extended Properties=&quot;&quot;" commandType="0"/>
  </connection>
  <connection id="141" xr16:uid="{AA26171D-847C-4804-8026-577487F59EE3}" keepAlive="1" name="Connection1123" type="5" refreshedVersion="0" background="1">
    <dbPr connection="Provider=Microsoft.Mashup.OleDb.1;Data Source=$Workbook$;Location=&quot;770187751088_01&quot;;Extended Properties=&quot;&quot;" commandType="0"/>
  </connection>
  <connection id="142" xr16:uid="{68948CB3-5193-4259-97F2-5ACB0584884A}" keepAlive="1" name="Connection1124" type="5" refreshedVersion="0" background="1">
    <dbPr connection="Provider=Microsoft.Mashup.OleDb.1;Data Source=$Workbook$;Location=&quot;770187751088_04&quot;;Extended Properties=&quot;&quot;" commandType="0"/>
  </connection>
  <connection id="143" xr16:uid="{079914CE-85F2-44F4-AC1E-6E0708E5E737}" keepAlive="1" name="Connection1125" type="5" refreshedVersion="0" background="1">
    <dbPr connection="Provider=Microsoft.Mashup.OleDb.1;Data Source=$Workbook$;Location=&quot;770355308411_01&quot;;Extended Properties=&quot;&quot;" commandType="0"/>
  </connection>
  <connection id="144" xr16:uid="{738AAC5A-390C-4941-A94D-19E2EF1A073A}" keepAlive="1" name="Connection1126" type="5" refreshedVersion="0" background="1">
    <dbPr connection="Provider=Microsoft.Mashup.OleDb.1;Data Source=$Workbook$;Location=&quot;770355308411_04&quot;;Extended Properties=&quot;&quot;" commandType="0"/>
  </connection>
  <connection id="145" xr16:uid="{C9BDEEC5-DDF6-4C3A-86BD-B4CB526B0E6A}" keepAlive="1" name="Connection1127" type="5" refreshedVersion="0" background="1">
    <dbPr connection="Provider=Microsoft.Mashup.OleDb.1;Data Source=$Workbook$;Location=&quot;770404161420_01&quot;;Extended Properties=&quot;&quot;" commandType="0"/>
  </connection>
  <connection id="146" xr16:uid="{FAC6FDEB-B241-419E-8D1B-F3247A6836FF}" keepAlive="1" name="Connection1128" type="5" refreshedVersion="0" background="1">
    <dbPr connection="Provider=Microsoft.Mashup.OleDb.1;Data Source=$Workbook$;Location=&quot;770404161420_04&quot;;Extended Properties=&quot;&quot;" commandType="0"/>
  </connection>
  <connection id="147" xr16:uid="{FB0C8C49-EC20-47EE-BB7B-EF9BFD8E6765}" keepAlive="1" name="Connection1129" type="5" refreshedVersion="0" background="1">
    <dbPr connection="Provider=Microsoft.Mashup.OleDb.1;Data Source=$Workbook$;Location=&quot;778122646458_01&quot;;Extended Properties=&quot;&quot;" commandType="0"/>
  </connection>
  <connection id="148" xr16:uid="{8FBE10D4-1E7B-4E2E-9727-A1ADC495FA9D}" keepAlive="1" name="Connection113" type="5" refreshedVersion="0" background="1">
    <dbPr connection="Provider=Microsoft.Mashup.OleDb.1;Data Source=$Workbook$;Location=&quot;123578321012_04&quot;;Extended Properties=&quot;&quot;" commandType="0"/>
  </connection>
  <connection id="149" xr16:uid="{3A692371-179D-43C1-B4CB-8D7E9267BBB6}" keepAlive="1" name="Connection1130" type="5" refreshedVersion="0" background="1">
    <dbPr connection="Provider=Microsoft.Mashup.OleDb.1;Data Source=$Workbook$;Location=&quot;778122646458_04&quot;;Extended Properties=&quot;&quot;" commandType="0"/>
  </connection>
  <connection id="150" xr16:uid="{7603546C-AA0C-4009-9A51-18B5DE8E6CFB}" keepAlive="1" name="Connection1131" type="5" refreshedVersion="0" background="1">
    <dbPr connection="Provider=Microsoft.Mashup.OleDb.1;Data Source=$Workbook$;Location=&quot;392102573942_01&quot;;Extended Properties=&quot;&quot;" commandType="0"/>
  </connection>
  <connection id="151" xr16:uid="{F7D917D7-EFEE-4E4E-864F-C0FA4390A1FD}" keepAlive="1" name="Connection1132" type="5" refreshedVersion="0" background="1">
    <dbPr connection="Provider=Microsoft.Mashup.OleDb.1;Data Source=$Workbook$;Location=&quot;392102573942_04&quot;;Extended Properties=&quot;&quot;" commandType="0"/>
  </connection>
  <connection id="152" xr16:uid="{F843AC7D-C62C-49B2-81FD-C90BA9CDF5B8}" keepAlive="1" name="Connection1133" type="5" refreshedVersion="0" background="1">
    <dbPr connection="Provider=Microsoft.Mashup.OleDb.1;Data Source=$Workbook$;Location=&quot;392151910763_01&quot;;Extended Properties=&quot;&quot;" commandType="0"/>
  </connection>
  <connection id="153" xr16:uid="{217CF47D-3D67-4D4E-B1D1-670CBD1A61E0}" keepAlive="1" name="Connection1134" type="5" refreshedVersion="0" background="1">
    <dbPr connection="Provider=Microsoft.Mashup.OleDb.1;Data Source=$Workbook$;Location=&quot;392151910763_04&quot;;Extended Properties=&quot;&quot;" commandType="0"/>
  </connection>
  <connection id="154" xr16:uid="{0A898ECA-406E-494F-B43D-4105FA046441}" keepAlive="1" name="Connection1135" type="5" refreshedVersion="0" background="1">
    <dbPr connection="Provider=Microsoft.Mashup.OleDb.1;Data Source=$Workbook$;Location=&quot;392270310879_01&quot;;Extended Properties=&quot;&quot;" commandType="0"/>
  </connection>
  <connection id="155" xr16:uid="{BB0A270A-6B3F-4525-B09E-2CCD49D5A902}" keepAlive="1" name="Connection1136" type="5" refreshedVersion="0" background="1">
    <dbPr connection="Provider=Microsoft.Mashup.OleDb.1;Data Source=$Workbook$;Location=&quot;392270310879_04&quot;;Extended Properties=&quot;&quot;" commandType="0"/>
  </connection>
  <connection id="156" xr16:uid="{3059852D-F8EE-4E85-877E-02E6FF187C0F}" keepAlive="1" name="Connection1137" type="5" refreshedVersion="0" background="1">
    <dbPr connection="Provider=Microsoft.Mashup.OleDb.1;Data Source=$Workbook$;Location=&quot;392274247423_01&quot;;Extended Properties=&quot;&quot;" commandType="0"/>
  </connection>
  <connection id="157" xr16:uid="{CB2545D3-8C7F-478B-8B43-B5BA9C9A2468}" keepAlive="1" name="Connection1138" type="5" refreshedVersion="0" background="1">
    <dbPr connection="Provider=Microsoft.Mashup.OleDb.1;Data Source=$Workbook$;Location=&quot;392274247423_04&quot;;Extended Properties=&quot;&quot;" commandType="0"/>
  </connection>
  <connection id="158" xr16:uid="{0804979C-1261-44D2-80A4-42A1B5437158}" keepAlive="1" name="Connection1139" type="5" refreshedVersion="0" background="1">
    <dbPr connection="Provider=Microsoft.Mashup.OleDb.1;Data Source=$Workbook$;Location=&quot;392352898278_01&quot;;Extended Properties=&quot;&quot;" commandType="0"/>
  </connection>
  <connection id="159" xr16:uid="{0E1E9185-A429-4F6E-A43A-0434EEB9D768}" keepAlive="1" name="Connection114" type="5" refreshedVersion="0" saveData="1">
    <dbPr connection="Provider=Microsoft.Mashup.OleDb.1;Data Source=$Workbook$;Location=&quot;153263969644_01&quot;;Extended Properties=&quot;&quot;" commandType="0"/>
  </connection>
  <connection id="160" xr16:uid="{ED818A20-47F0-412C-BED2-6192316C2093}" keepAlive="1" name="Connection1140" type="5" refreshedVersion="0" background="1">
    <dbPr connection="Provider=Microsoft.Mashup.OleDb.1;Data Source=$Workbook$;Location=&quot;392352898278_04&quot;;Extended Properties=&quot;&quot;" commandType="0"/>
  </connection>
  <connection id="161" xr16:uid="{B33B2886-CCC1-44FC-BEF2-F643E35DA691}" keepAlive="1" name="Connection1141" type="5" refreshedVersion="0" background="1">
    <dbPr connection="Provider=Microsoft.Mashup.OleDb.1;Data Source=$Workbook$;Location=&quot;392369912833_01&quot;;Extended Properties=&quot;&quot;" commandType="0"/>
  </connection>
  <connection id="162" xr16:uid="{D634403B-D92C-4DE7-9B69-64AF090237C1}" keepAlive="1" name="Connection1142" type="5" refreshedVersion="0" background="1">
    <dbPr connection="Provider=Microsoft.Mashup.OleDb.1;Data Source=$Workbook$;Location=&quot;392369912833_04&quot;;Extended Properties=&quot;&quot;" commandType="0"/>
  </connection>
  <connection id="163" xr16:uid="{CBFEF195-CD73-4D4C-BEB9-412A5989C28E}" keepAlive="1" name="Connection1143" type="5" refreshedVersion="0" background="1">
    <dbPr connection="Provider=Microsoft.Mashup.OleDb.1;Data Source=$Workbook$;Location=&quot;392547665760_01&quot;;Extended Properties=&quot;&quot;" commandType="0"/>
  </connection>
  <connection id="164" xr16:uid="{E1BB4C7A-43EE-41C2-8413-1BBB9D2871D4}" keepAlive="1" name="Connection1144" type="5" refreshedVersion="0" background="1">
    <dbPr connection="Provider=Microsoft.Mashup.OleDb.1;Data Source=$Workbook$;Location=&quot;392547665760_04&quot;;Extended Properties=&quot;&quot;" commandType="0"/>
  </connection>
  <connection id="165" xr16:uid="{32E18EBC-C6DD-4E7C-8323-09B967FA847F}" keepAlive="1" name="Connection1145" type="5" refreshedVersion="0" background="1">
    <dbPr connection="Provider=Microsoft.Mashup.OleDb.1;Data Source=$Workbook$;Location=&quot;392645349802_01&quot;;Extended Properties=&quot;&quot;" commandType="0"/>
  </connection>
  <connection id="166" xr16:uid="{2B84977C-0B22-4D86-8F18-C0121D6EBBF9}" keepAlive="1" name="Connection1146" type="5" refreshedVersion="0" background="1">
    <dbPr connection="Provider=Microsoft.Mashup.OleDb.1;Data Source=$Workbook$;Location=&quot;392645349802_04&quot;;Extended Properties=&quot;&quot;" commandType="0"/>
  </connection>
  <connection id="167" xr16:uid="{56887EB3-0452-46D8-8A83-9E6A5E66814E}" keepAlive="1" name="Connection1147" type="5" refreshedVersion="0" background="1">
    <dbPr connection="Provider=Microsoft.Mashup.OleDb.1;Data Source=$Workbook$;Location=&quot;392645350541_01&quot;;Extended Properties=&quot;&quot;" commandType="0"/>
  </connection>
  <connection id="168" xr16:uid="{8BFB669C-8A66-43A3-9D1D-2BCB4D8F5FF4}" keepAlive="1" name="Connection1148" type="5" refreshedVersion="0" background="1">
    <dbPr connection="Provider=Microsoft.Mashup.OleDb.1;Data Source=$Workbook$;Location=&quot;392645350541_04&quot;;Extended Properties=&quot;&quot;" commandType="0"/>
  </connection>
  <connection id="169" xr16:uid="{27875807-4F7E-45E0-9967-677CB6D63792}" keepAlive="1" name="Connection1149" type="5" refreshedVersion="0" background="1">
    <dbPr connection="Provider=Microsoft.Mashup.OleDb.1;Data Source=$Workbook$;Location=&quot;165309183266_01&quot;;Extended Properties=&quot;&quot;" commandType="0"/>
  </connection>
  <connection id="170" xr16:uid="{BE2AE877-BE18-4A63-9940-C331C5CCE3AC}" keepAlive="1" name="Connection115" type="5" refreshedVersion="0" background="1">
    <dbPr connection="Provider=Microsoft.Mashup.OleDb.1;Data Source=$Workbook$;Location=&quot;153263969644_04&quot;;Extended Properties=&quot;&quot;" commandType="0"/>
  </connection>
  <connection id="171" xr16:uid="{7F7F50D4-66C5-433A-8A6B-DB20252428B3}" keepAlive="1" name="Connection1150" type="5" refreshedVersion="0" background="1">
    <dbPr connection="Provider=Microsoft.Mashup.OleDb.1;Data Source=$Workbook$;Location=&quot;165309183266_04&quot;;Extended Properties=&quot;&quot;" commandType="0"/>
  </connection>
  <connection id="172" xr16:uid="{79F92C6F-2ED5-4FDA-A89A-5B8C0B5824D7}" keepAlive="1" name="Connection1151" type="5" refreshedVersion="0" background="1">
    <dbPr connection="Provider=Microsoft.Mashup.OleDb.1;Data Source=$Workbook$;Location=&quot;391945152643_01&quot;;Extended Properties=&quot;&quot;" commandType="0"/>
  </connection>
  <connection id="173" xr16:uid="{99C4F86A-9F31-4AC7-83EC-D5278BCD7854}" keepAlive="1" name="Connection1152" type="5" refreshedVersion="0" background="1">
    <dbPr connection="Provider=Microsoft.Mashup.OleDb.1;Data Source=$Workbook$;Location=&quot;391945152643_04&quot;;Extended Properties=&quot;&quot;" commandType="0"/>
  </connection>
  <connection id="174" xr16:uid="{2A8C4B13-404C-4DAE-B385-A3820E647462}" keepAlive="1" name="Connection1153" type="5" refreshedVersion="0" background="1">
    <dbPr connection="Provider=Microsoft.Mashup.OleDb.1;Data Source=$Workbook$;Location=&quot;392605974438_01&quot;;Extended Properties=&quot;&quot;" commandType="0"/>
  </connection>
  <connection id="175" xr16:uid="{A6F49389-2F3A-4756-AFCB-E7620F5AE07C}" keepAlive="1" name="Connection1154" type="5" refreshedVersion="0" background="1">
    <dbPr connection="Provider=Microsoft.Mashup.OleDb.1;Data Source=$Workbook$;Location=&quot;392605974438_04&quot;;Extended Properties=&quot;&quot;" commandType="0"/>
  </connection>
  <connection id="176" xr16:uid="{B5F20439-A10C-4C01-ADE4-2DEC9C10ED54}" keepAlive="1" name="Connection1155" type="5" refreshedVersion="0" background="1">
    <dbPr connection="Provider=Microsoft.Mashup.OleDb.1;Data Source=$Workbook$;Location=&quot;261248911402615_01&quot;;Extended Properties=&quot;&quot;" commandType="0"/>
  </connection>
  <connection id="177" xr16:uid="{71F44F2C-F0A4-4050-AC47-841A63012313}" keepAlive="1" name="Connection1156" type="5" refreshedVersion="0" background="1">
    <dbPr connection="Provider=Microsoft.Mashup.OleDb.1;Data Source=$Workbook$;Location=&quot;261248911402615_04&quot;;Extended Properties=&quot;&quot;" commandType="0"/>
  </connection>
  <connection id="178" xr16:uid="{4ABD8AB1-87BB-4FC6-995A-E0BA0F838953}" keepAlive="1" name="Connection1157" type="5" refreshedVersion="0" background="1">
    <dbPr connection="Provider=Microsoft.Mashup.OleDb.1;Data Source=$Workbook$;Location=&quot;391891041032_01&quot;;Extended Properties=&quot;&quot;" commandType="0"/>
  </connection>
  <connection id="179" xr16:uid="{880D8176-6C17-49CB-B33D-08F7498350B4}" keepAlive="1" name="Connection1158" type="5" refreshedVersion="0" background="1">
    <dbPr connection="Provider=Microsoft.Mashup.OleDb.1;Data Source=$Workbook$;Location=&quot;391891041032_04&quot;;Extended Properties=&quot;&quot;" commandType="0"/>
  </connection>
  <connection id="180" xr16:uid="{E1A10CDA-F9AF-42E9-ABA2-100D35BF5112}" keepAlive="1" name="Connection1159" type="5" refreshedVersion="0" background="1">
    <dbPr connection="Provider=Microsoft.Mashup.OleDb.1;Data Source=$Workbook$;Location=&quot;392586198147_01&quot;;Extended Properties=&quot;&quot;" commandType="0"/>
  </connection>
  <connection id="181" xr16:uid="{A2041946-438C-4562-AB92-D482819E7623}" keepAlive="1" name="Connection116" type="5" refreshedVersion="0" background="1">
    <dbPr connection="Provider=Microsoft.Mashup.OleDb.1;Data Source=$Workbook$;Location=&quot;153263969644_01&quot;;Extended Properties=&quot;&quot;" commandType="0"/>
  </connection>
  <connection id="182" xr16:uid="{B60E745E-8444-43C2-9D26-A86B5C2D5D79}" keepAlive="1" name="Connection1160" type="5" refreshedVersion="0" background="1">
    <dbPr connection="Provider=Microsoft.Mashup.OleDb.1;Data Source=$Workbook$;Location=&quot;392586198147_04&quot;;Extended Properties=&quot;&quot;" commandType="0"/>
  </connection>
  <connection id="183" xr16:uid="{C481ECA4-928A-4A96-8AB5-8943412A08E7}" keepAlive="1" name="Connection1161" type="5" refreshedVersion="0" background="1">
    <dbPr connection="Provider=Microsoft.Mashup.OleDb.1;Data Source=$Workbook$;Location=&quot;126335474097_01&quot;;Extended Properties=&quot;&quot;" commandType="0"/>
  </connection>
  <connection id="184" xr16:uid="{CD502C16-F581-4620-9D23-640E4BC9391D}" keepAlive="1" name="Connection1162" type="5" refreshedVersion="0" background="1">
    <dbPr connection="Provider=Microsoft.Mashup.OleDb.1;Data Source=$Workbook$;Location=&quot;126335474097_04&quot;;Extended Properties=&quot;&quot;" commandType="0"/>
  </connection>
  <connection id="185" xr16:uid="{4040F4B5-C7C0-4E7F-8929-D2C93AEE1828}" keepAlive="1" name="Connection1163" type="5" refreshedVersion="0" background="1">
    <dbPr connection="Provider=Microsoft.Mashup.OleDb.1;Data Source=$Workbook$;Location=&quot;241605212889662_01&quot;;Extended Properties=&quot;&quot;" commandType="0"/>
  </connection>
  <connection id="186" xr16:uid="{6957CF96-A5C1-48B1-910F-66E93FE84737}" keepAlive="1" name="Connection1164" type="5" refreshedVersion="0" background="1">
    <dbPr connection="Provider=Microsoft.Mashup.OleDb.1;Data Source=$Workbook$;Location=&quot;241605212889662_04&quot;;Extended Properties=&quot;&quot;" commandType="0"/>
  </connection>
  <connection id="187" xr16:uid="{54E56961-39E9-4068-85DC-F6577E27DCAB}" keepAlive="1" name="Connection1165" type="5" refreshedVersion="0" background="1">
    <dbPr connection="Provider=Microsoft.Mashup.OleDb.1;Data Source=$Workbook$;Location=&quot;391664063152_01&quot;;Extended Properties=&quot;&quot;" commandType="0"/>
  </connection>
  <connection id="188" xr16:uid="{890EB54D-EC71-468C-81B1-5C9E75901C5F}" keepAlive="1" name="Connection1166" type="5" refreshedVersion="0" background="1">
    <dbPr connection="Provider=Microsoft.Mashup.OleDb.1;Data Source=$Workbook$;Location=&quot;391664063152_04&quot;;Extended Properties=&quot;&quot;" commandType="0"/>
  </connection>
  <connection id="189" xr16:uid="{34BE8C5E-AAC4-4EEA-B647-6043D6212AF1}" keepAlive="1" name="Connection1167" type="5" refreshedVersion="0" background="1">
    <dbPr connection="Provider=Microsoft.Mashup.OleDb.1;Data Source=$Workbook$;Location=&quot;392371631267_01&quot;;Extended Properties=&quot;&quot;" commandType="0"/>
  </connection>
  <connection id="190" xr16:uid="{CFDC2A15-C10F-47E1-8BE8-40E1952EB9AF}" keepAlive="1" name="Connection1168" type="5" refreshedVersion="0" background="1">
    <dbPr connection="Provider=Microsoft.Mashup.OleDb.1;Data Source=$Workbook$;Location=&quot;392371631267_04&quot;;Extended Properties=&quot;&quot;" commandType="0"/>
  </connection>
  <connection id="191" xr16:uid="{4D17C179-2C8A-4C23-B284-5B68CFF640DF}" keepAlive="1" name="Connection1169" type="5" refreshedVersion="0" background="1">
    <dbPr connection="Provider=Microsoft.Mashup.OleDb.1;Data Source=$Workbook$;Location=&quot;392426823963_01&quot;;Extended Properties=&quot;&quot;" commandType="0"/>
  </connection>
  <connection id="192" xr16:uid="{C7CDECC1-EB15-46CC-A281-72E4D7BCFDB1}" keepAlive="1" name="Connection117" type="5" refreshedVersion="0" background="1">
    <dbPr connection="Provider=Microsoft.Mashup.OleDb.1;Data Source=$Workbook$;Location=&quot;153263969644_04&quot;;Extended Properties=&quot;&quot;" commandType="0"/>
  </connection>
  <connection id="193" xr16:uid="{5C9E242F-36E9-49CE-A819-4C1BC44497AB}" keepAlive="1" name="Connection1170" type="5" refreshedVersion="0" background="1">
    <dbPr connection="Provider=Microsoft.Mashup.OleDb.1;Data Source=$Workbook$;Location=&quot;392426823963_04&quot;;Extended Properties=&quot;&quot;" commandType="0"/>
  </connection>
  <connection id="194" xr16:uid="{075943FF-934D-475B-916A-B0593920BA29}" keepAlive="1" name="Connection1171" type="5" refreshedVersion="0" background="1">
    <dbPr connection="Provider=Microsoft.Mashup.OleDb.1;Data Source=$Workbook$;Location=&quot;392460933918_01&quot;;Extended Properties=&quot;&quot;" commandType="0"/>
  </connection>
  <connection id="195" xr16:uid="{99440059-B97E-4786-B4A4-FD2CC23D0C6B}" keepAlive="1" name="Connection1172" type="5" refreshedVersion="0" background="1">
    <dbPr connection="Provider=Microsoft.Mashup.OleDb.1;Data Source=$Workbook$;Location=&quot;392460933918_04&quot;;Extended Properties=&quot;&quot;" commandType="0"/>
  </connection>
  <connection id="196" xr16:uid="{6535F370-A4EE-47F9-BE80-B5403DDE6BBF}" keepAlive="1" name="Connection1173" type="5" refreshedVersion="0" background="1">
    <dbPr connection="Provider=Microsoft.Mashup.OleDb.1;Data Source=$Workbook$;Location=&quot;392741219767_01&quot;;Extended Properties=&quot;&quot;" commandType="0"/>
  </connection>
  <connection id="197" xr16:uid="{26D99E89-A0C0-4021-AA03-4EBCD9723826}" keepAlive="1" name="Connection1174" type="5" refreshedVersion="0" background="1">
    <dbPr connection="Provider=Microsoft.Mashup.OleDb.1;Data Source=$Workbook$;Location=&quot;392741219767_04&quot;;Extended Properties=&quot;&quot;" commandType="0"/>
  </connection>
  <connection id="198" xr16:uid="{B3625D35-5CE1-4105-A2A5-BC3425EBA214}" keepAlive="1" name="Connection1175" type="5" refreshedVersion="0" background="1">
    <dbPr connection="Provider=Microsoft.Mashup.OleDb.1;Data Source=$Workbook$;Location=&quot;111070172097_01&quot;;Extended Properties=&quot;&quot;" commandType="0"/>
  </connection>
  <connection id="199" xr16:uid="{8B4E7A0E-E020-479D-82D6-4C51E9E93B53}" keepAlive="1" name="Connection1176" type="5" refreshedVersion="0" background="1">
    <dbPr connection="Provider=Microsoft.Mashup.OleDb.1;Data Source=$Workbook$;Location=&quot;111070172097_04&quot;;Extended Properties=&quot;&quot;" commandType="0"/>
  </connection>
  <connection id="200" xr16:uid="{EBA29DAB-6BC5-4D4A-9368-550ED5A16D8F}" keepAlive="1" name="Connection1177" type="5" refreshedVersion="0" background="1">
    <dbPr connection="Provider=Microsoft.Mashup.OleDb.1;Data Source=$Workbook$;Location=&quot;261248911364654_01&quot;;Extended Properties=&quot;&quot;" commandType="0"/>
  </connection>
  <connection id="201" xr16:uid="{42B52E92-F06C-4CD7-A9F1-FBCAC85B7449}" keepAlive="1" name="Connection1178" type="5" refreshedVersion="0" background="1">
    <dbPr connection="Provider=Microsoft.Mashup.OleDb.1;Data Source=$Workbook$;Location=&quot;261248911364654_04&quot;;Extended Properties=&quot;&quot;" commandType="0"/>
  </connection>
  <connection id="202" xr16:uid="{9803779F-D048-4E0D-A849-1E82222DCC15}" keepAlive="1" name="Connection1179" type="5" refreshedVersion="0" background="1">
    <dbPr connection="Provider=Microsoft.Mashup.OleDb.1;Data Source=$Workbook$;Location=&quot;390963938405_01&quot;;Extended Properties=&quot;&quot;" commandType="0"/>
  </connection>
  <connection id="203" xr16:uid="{3399A9CE-EF46-4217-856F-033598B1B255}" keepAlive="1" name="Connection118" type="5" refreshedVersion="0" saveData="1">
    <dbPr connection="Provider=Microsoft.Mashup.OleDb.1;Data Source=$Workbook$;Location=&quot;391411303899_01&quot;;Extended Properties=&quot;&quot;" commandType="0"/>
  </connection>
  <connection id="204" xr16:uid="{6D92E52E-9F57-41A5-A013-60ABF1232A4A}" keepAlive="1" name="Connection1180" type="5" refreshedVersion="0" background="1">
    <dbPr connection="Provider=Microsoft.Mashup.OleDb.1;Data Source=$Workbook$;Location=&quot;390963938405_04&quot;;Extended Properties=&quot;&quot;" commandType="0"/>
  </connection>
  <connection id="205" xr16:uid="{932E5637-1A5A-4AE1-84B2-5F18A718198B}" keepAlive="1" name="Connection1181" type="5" refreshedVersion="0" background="1">
    <dbPr connection="Provider=Microsoft.Mashup.OleDb.1;Data Source=$Workbook$;Location=&quot;391377133474_01&quot;;Extended Properties=&quot;&quot;" commandType="0"/>
  </connection>
  <connection id="206" xr16:uid="{03E39F56-2E1E-4386-AC39-E7D53BFA2668}" keepAlive="1" name="Connection1182" type="5" refreshedVersion="0" background="1">
    <dbPr connection="Provider=Microsoft.Mashup.OleDb.1;Data Source=$Workbook$;Location=&quot;391377133474_04&quot;;Extended Properties=&quot;&quot;" commandType="0"/>
  </connection>
  <connection id="207" xr16:uid="{C4EC42BD-ED2D-497D-AFF7-299585885531}" keepAlive="1" name="Connection1183" type="5" refreshedVersion="0" background="1">
    <dbPr connection="Provider=Microsoft.Mashup.OleDb.1;Data Source=$Workbook$;Location=&quot;391889292782_01&quot;;Extended Properties=&quot;&quot;" commandType="0"/>
  </connection>
  <connection id="208" xr16:uid="{8F1C4C6D-CA28-411A-A7A2-C6D95C0012AD}" keepAlive="1" name="Connection1184" type="5" refreshedVersion="0" background="1">
    <dbPr connection="Provider=Microsoft.Mashup.OleDb.1;Data Source=$Workbook$;Location=&quot;391889292782_04&quot;;Extended Properties=&quot;&quot;" commandType="0"/>
  </connection>
  <connection id="209" xr16:uid="{37F13EBA-17FE-4E6B-99E0-6E48F9160176}" keepAlive="1" name="Connection1185" type="5" refreshedVersion="0" background="1">
    <dbPr connection="Provider=Microsoft.Mashup.OleDb.1;Data Source=$Workbook$;Location=&quot;392046877725_01&quot;;Extended Properties=&quot;&quot;" commandType="0"/>
  </connection>
  <connection id="210" xr16:uid="{0A4B7D81-88A2-42EF-9EA0-DEB66A76C605}" keepAlive="1" name="Connection1186" type="5" refreshedVersion="0" background="1">
    <dbPr connection="Provider=Microsoft.Mashup.OleDb.1;Data Source=$Workbook$;Location=&quot;392046877725_04&quot;;Extended Properties=&quot;&quot;" commandType="0"/>
  </connection>
  <connection id="211" xr16:uid="{2CD30DC2-2D15-43D9-B9B4-63D958E1A7FC}" keepAlive="1" name="Connection1187" type="5" refreshedVersion="0" background="1">
    <dbPr connection="Provider=Microsoft.Mashup.OleDb.1;Data Source=$Workbook$;Location=&quot;392357345890_01&quot;;Extended Properties=&quot;&quot;" commandType="0"/>
  </connection>
  <connection id="212" xr16:uid="{33BEBCCA-30D6-4FE6-9375-43C1C8381ADF}" keepAlive="1" name="Connection1188" type="5" refreshedVersion="0" background="1">
    <dbPr connection="Provider=Microsoft.Mashup.OleDb.1;Data Source=$Workbook$;Location=&quot;392357345890_04&quot;;Extended Properties=&quot;&quot;" commandType="0"/>
  </connection>
  <connection id="213" xr16:uid="{284AADA6-A6D8-4E22-97DF-BD03895CC416}" keepAlive="1" name="Connection1189" type="5" refreshedVersion="0" background="1">
    <dbPr connection="Provider=Microsoft.Mashup.OleDb.1;Data Source=$Workbook$;Location=&quot;392402754220_01&quot;;Extended Properties=&quot;&quot;" commandType="0"/>
  </connection>
  <connection id="214" xr16:uid="{106FEE41-2392-4259-B406-D2029F5357E0}" keepAlive="1" name="Connection119" type="5" refreshedVersion="0" background="1">
    <dbPr connection="Provider=Microsoft.Mashup.OleDb.1;Data Source=$Workbook$;Location=&quot;391411303899_01&quot;;Extended Properties=&quot;&quot;" commandType="0"/>
  </connection>
  <connection id="215" xr16:uid="{41FF08AF-F40F-419A-9C63-BC30F7F14FBB}" keepAlive="1" name="Connection1190" type="5" refreshedVersion="0" background="1">
    <dbPr connection="Provider=Microsoft.Mashup.OleDb.1;Data Source=$Workbook$;Location=&quot;392402754220_04&quot;;Extended Properties=&quot;&quot;" commandType="0"/>
  </connection>
  <connection id="216" xr16:uid="{206937AB-3C4C-4186-9CAF-9C489FA2BC2A}" keepAlive="1" name="Connection1191" type="5" refreshedVersion="0" background="1">
    <dbPr connection="Provider=Microsoft.Mashup.OleDb.1;Data Source=$Workbook$;Location=&quot;392447172515_01&quot;;Extended Properties=&quot;&quot;" commandType="0"/>
  </connection>
  <connection id="217" xr16:uid="{9E66F682-9CF0-4201-B4DA-24A64FF9D039}" keepAlive="1" name="Connection1192" type="5" refreshedVersion="0" background="1">
    <dbPr connection="Provider=Microsoft.Mashup.OleDb.1;Data Source=$Workbook$;Location=&quot;392447172515_04&quot;;Extended Properties=&quot;&quot;" commandType="0"/>
  </connection>
  <connection id="218" xr16:uid="{270E1F68-39AE-4620-885C-AA091300B989}" keepAlive="1" name="Connection1193" type="5" refreshedVersion="0" background="1">
    <dbPr connection="Provider=Microsoft.Mashup.OleDb.1;Data Source=$Workbook$;Location=&quot;770313839749_01&quot;;Extended Properties=&quot;&quot;" commandType="0"/>
  </connection>
  <connection id="219" xr16:uid="{AC06050A-132D-4997-9B57-3EC1EAB22A0C}" keepAlive="1" name="Connection1194" type="5" refreshedVersion="0" background="1">
    <dbPr connection="Provider=Microsoft.Mashup.OleDb.1;Data Source=$Workbook$;Location=&quot;770313839749_04&quot;;Extended Properties=&quot;&quot;" commandType="0"/>
  </connection>
  <connection id="220" xr16:uid="{BB133AC4-75BD-4DAC-9792-5A3D0A3BD677}" keepAlive="1" name="Connection1195" type="5" refreshedVersion="0" background="1">
    <dbPr connection="Provider=Microsoft.Mashup.OleDb.1;Data Source=$Workbook$;Location=&quot;170536856031_01&quot;;Extended Properties=&quot;&quot;" commandType="0"/>
  </connection>
  <connection id="221" xr16:uid="{AD883E9D-6252-40C3-861B-9CB8EB5F5BE8}" keepAlive="1" name="Connection1196" type="5" refreshedVersion="0" background="1">
    <dbPr connection="Provider=Microsoft.Mashup.OleDb.1;Data Source=$Workbook$;Location=&quot;170536856031_04&quot;;Extended Properties=&quot;&quot;" commandType="0"/>
  </connection>
  <connection id="222" xr16:uid="{26EF6491-0C49-4DDE-B133-1F67DE67DE85}" keepAlive="1" name="Connection1197" type="5" refreshedVersion="0" background="1">
    <dbPr connection="Provider=Microsoft.Mashup.OleDb.1;Data Source=$Workbook$;Location=&quot;391513674071_01&quot;;Extended Properties=&quot;&quot;" commandType="0"/>
  </connection>
  <connection id="223" xr16:uid="{59D794FD-082D-4581-AE82-7F75FE66DAC8}" keepAlive="1" name="Connection1198" type="5" refreshedVersion="0" background="1">
    <dbPr connection="Provider=Microsoft.Mashup.OleDb.1;Data Source=$Workbook$;Location=&quot;391513674071_04&quot;;Extended Properties=&quot;&quot;" commandType="0"/>
  </connection>
  <connection id="224" xr16:uid="{10636F38-7068-4AB6-8D2D-D5FEAC3DE1BF}" keepAlive="1" name="Connection1199" type="5" refreshedVersion="0" background="1">
    <dbPr connection="Provider=Microsoft.Mashup.OleDb.1;Data Source=$Workbook$;Location=&quot;392209456988_01&quot;;Extended Properties=&quot;&quot;" commandType="0"/>
  </connection>
  <connection id="225" xr16:uid="{AF325A2B-F7C6-4C99-8AD3-FE0D0EB71559}" keepAlive="1" name="Connection12" type="5" refreshedVersion="0" background="1">
    <dbPr connection="Provider=Microsoft.Mashup.OleDb.1;Data Source=$Workbook$;Location=&quot;153263965844&quot;;Extended Properties=&quot;&quot;" commandType="0"/>
  </connection>
  <connection id="226" xr16:uid="{ECEECC7B-6CE1-432E-B8B1-9931C38FF0B0}" keepAlive="1" name="Connection120" type="5" refreshedVersion="0" background="1">
    <dbPr connection="Provider=Microsoft.Mashup.OleDb.1;Data Source=$Workbook$;Location=&quot;153263969644_01&quot;;Extended Properties=&quot;&quot;" commandType="0"/>
  </connection>
  <connection id="227" xr16:uid="{D54B6F2A-0330-405E-9543-9CE2D2CD3F6B}" keepAlive="1" name="Connection1200" type="5" refreshedVersion="0" background="1">
    <dbPr connection="Provider=Microsoft.Mashup.OleDb.1;Data Source=$Workbook$;Location=&quot;392209456988_04&quot;;Extended Properties=&quot;&quot;" commandType="0"/>
  </connection>
  <connection id="228" xr16:uid="{B591AF2E-E53F-4A34-891A-A5FB163F6899}" keepAlive="1" name="Connection1201" type="5" refreshedVersion="0" background="1">
    <dbPr connection="Provider=Microsoft.Mashup.OleDb.1;Data Source=$Workbook$;Location=&quot;392239987917_01&quot;;Extended Properties=&quot;&quot;" commandType="0"/>
  </connection>
  <connection id="229" xr16:uid="{FD354872-4D87-4C6F-8C36-EE3BA5893BF6}" keepAlive="1" name="Connection1202" type="5" refreshedVersion="0" background="1">
    <dbPr connection="Provider=Microsoft.Mashup.OleDb.1;Data Source=$Workbook$;Location=&quot;392239987917_04&quot;;Extended Properties=&quot;&quot;" commandType="0"/>
  </connection>
  <connection id="230" xr16:uid="{AD19E272-4A37-421F-9EFB-9F33FDE9FF77}" keepAlive="1" name="Connection1203" type="5" refreshedVersion="0" background="1">
    <dbPr connection="Provider=Microsoft.Mashup.OleDb.1;Data Source=$Workbook$;Location=&quot;770393992901_01&quot;;Extended Properties=&quot;&quot;" commandType="0"/>
  </connection>
  <connection id="231" xr16:uid="{A29C7B5B-3B24-4ACD-BEFB-B660C22A6D45}" keepAlive="1" name="Connection1204" type="5" refreshedVersion="0" background="1">
    <dbPr connection="Provider=Microsoft.Mashup.OleDb.1;Data Source=$Workbook$;Location=&quot;770393992901_04&quot;;Extended Properties=&quot;&quot;" commandType="0"/>
  </connection>
  <connection id="232" xr16:uid="{FEA551F4-8154-4BB8-8FC8-F316E4AE6155}" keepAlive="1" name="Connection1205" type="5" refreshedVersion="0" background="1">
    <dbPr connection="Provider=Microsoft.Mashup.OleDb.1;Data Source=$Workbook$;Location=&quot;176649872109_01&quot;;Extended Properties=&quot;&quot;" commandType="0"/>
  </connection>
  <connection id="233" xr16:uid="{B05AEEE9-95E6-4D48-9B01-56DF96414592}" keepAlive="1" name="Connection1206" type="5" refreshedVersion="0" background="1">
    <dbPr connection="Provider=Microsoft.Mashup.OleDb.1;Data Source=$Workbook$;Location=&quot;176649872109_04&quot;;Extended Properties=&quot;&quot;" commandType="0"/>
  </connection>
  <connection id="234" xr16:uid="{83AB05A8-E7A7-4BB6-9494-5736FC76263C}" keepAlive="1" name="Connection1207" type="5" refreshedVersion="0" background="1">
    <dbPr connection="Provider=Microsoft.Mashup.OleDb.1;Data Source=$Workbook$;Location=&quot;176649872201_01&quot;;Extended Properties=&quot;&quot;" commandType="0"/>
  </connection>
  <connection id="235" xr16:uid="{6F4B92C8-6580-42C5-90B9-A33609EBC728}" keepAlive="1" name="Connection1208" type="5" refreshedVersion="0" background="1">
    <dbPr connection="Provider=Microsoft.Mashup.OleDb.1;Data Source=$Workbook$;Location=&quot;176649872201_04&quot;;Extended Properties=&quot;&quot;" commandType="0"/>
  </connection>
  <connection id="236" xr16:uid="{9CAE9255-3595-4FB2-AB0E-FFC0819AD25E}" keepAlive="1" name="Connection1209" type="5" refreshedVersion="0" background="1">
    <dbPr connection="Provider=Microsoft.Mashup.OleDb.1;Data Source=$Workbook$;Location=&quot;176649872348_01&quot;;Extended Properties=&quot;&quot;" commandType="0"/>
  </connection>
  <connection id="237" xr16:uid="{855812DE-3D5B-4F4A-BDDA-1A746FB59FC5}" keepAlive="1" name="Connection121" type="5" refreshedVersion="0" background="1">
    <dbPr connection="Provider=Microsoft.Mashup.OleDb.1;Data Source=$Workbook$;Location=&quot;153263969644_04&quot;;Extended Properties=&quot;&quot;" commandType="0"/>
  </connection>
  <connection id="238" xr16:uid="{76494BB4-89DB-4FA8-9305-6D14406DA4D0}" keepAlive="1" name="Connection1210" type="5" refreshedVersion="0" background="1">
    <dbPr connection="Provider=Microsoft.Mashup.OleDb.1;Data Source=$Workbook$;Location=&quot;176649872348_04&quot;;Extended Properties=&quot;&quot;" commandType="0"/>
  </connection>
  <connection id="239" xr16:uid="{EE90122D-4A78-42AC-B813-D655564C8025}" keepAlive="1" name="Connection1211" type="5" refreshedVersion="0" background="1">
    <dbPr connection="Provider=Microsoft.Mashup.OleDb.1;Data Source=$Workbook$;Location=&quot;177173692514_01&quot;;Extended Properties=&quot;&quot;" commandType="0"/>
  </connection>
  <connection id="240" xr16:uid="{EA35B20E-B2EA-4267-B157-A4CB1DC9BEA6}" keepAlive="1" name="Connection1212" type="5" refreshedVersion="0" background="1">
    <dbPr connection="Provider=Microsoft.Mashup.OleDb.1;Data Source=$Workbook$;Location=&quot;177173692514_04&quot;;Extended Properties=&quot;&quot;" commandType="0"/>
  </connection>
  <connection id="241" xr16:uid="{FBDEDC85-D80E-486B-A4FE-4D37538234BA}" keepAlive="1" name="Connection1213" type="5" refreshedVersion="0" background="1">
    <dbPr connection="Provider=Microsoft.Mashup.OleDb.1;Data Source=$Workbook$;Location=&quot;177763972928_01&quot;;Extended Properties=&quot;&quot;" commandType="0"/>
  </connection>
  <connection id="242" xr16:uid="{DCB78CE1-C6A7-4FC2-96F9-87648A3FA2FC}" keepAlive="1" name="Connection1214" type="5" refreshedVersion="0" background="1">
    <dbPr connection="Provider=Microsoft.Mashup.OleDb.1;Data Source=$Workbook$;Location=&quot;177763972928_04&quot;;Extended Properties=&quot;&quot;" commandType="0"/>
  </connection>
  <connection id="243" xr16:uid="{F5508A9A-A2E5-4401-9AA6-97E1960BBBB0}" keepAlive="1" name="Connection1215" type="5" refreshedVersion="0" background="1">
    <dbPr connection="Provider=Microsoft.Mashup.OleDb.1;Data Source=$Workbook$;Location=&quot;261248911376251_01&quot;;Extended Properties=&quot;&quot;" commandType="0"/>
  </connection>
  <connection id="244" xr16:uid="{7317AC3E-7DA5-4732-B6F4-F793CCB00359}" keepAlive="1" name="Connection1216" type="5" refreshedVersion="0" background="1">
    <dbPr connection="Provider=Microsoft.Mashup.OleDb.1;Data Source=$Workbook$;Location=&quot;261248911376251_04&quot;;Extended Properties=&quot;&quot;" commandType="0"/>
  </connection>
  <connection id="245" xr16:uid="{0E3A6470-2242-42B9-A02E-317D7249740A}" keepAlive="1" name="Connection1217" type="5" refreshedVersion="0" background="1">
    <dbPr connection="Provider=Microsoft.Mashup.OleDb.1;Data Source=$Workbook$;Location=&quot;391796496680_01&quot;;Extended Properties=&quot;&quot;" commandType="0"/>
  </connection>
  <connection id="246" xr16:uid="{14E93E70-AA51-490A-8B33-D3D12E92B7F7}" keepAlive="1" name="Connection1218" type="5" refreshedVersion="0" background="1">
    <dbPr connection="Provider=Microsoft.Mashup.OleDb.1;Data Source=$Workbook$;Location=&quot;391796496680_04&quot;;Extended Properties=&quot;&quot;" commandType="0"/>
  </connection>
  <connection id="247" xr16:uid="{57C730E4-3B24-4AD9-AF8D-1CA5996EB811}" keepAlive="1" name="Connection1219" type="5" refreshedVersion="0" background="1">
    <dbPr connection="Provider=Microsoft.Mashup.OleDb.1;Data Source=$Workbook$;Location=&quot;391934569220_01&quot;;Extended Properties=&quot;&quot;" commandType="0"/>
  </connection>
  <connection id="248" xr16:uid="{F99E533F-8460-4D02-98D1-FF776A5D4DCF}" keepAlive="1" name="Connection122" type="5" refreshedVersion="0" background="1">
    <dbPr connection="Provider=Microsoft.Mashup.OleDb.1;Data Source=$Workbook$;Location=&quot;770077683845_01&quot;;Extended Properties=&quot;&quot;" commandType="0"/>
  </connection>
  <connection id="249" xr16:uid="{D896BE3C-636C-4D35-8A5D-9B4E58D065BD}" keepAlive="1" name="Connection1220" type="5" refreshedVersion="0" background="1">
    <dbPr connection="Provider=Microsoft.Mashup.OleDb.1;Data Source=$Workbook$;Location=&quot;391934569220_04&quot;;Extended Properties=&quot;&quot;" commandType="0"/>
  </connection>
  <connection id="250" xr16:uid="{0307AA18-9FDB-4B48-9B7C-F9524E2F0E02}" keepAlive="1" name="Connection1221" type="5" refreshedVersion="0" background="1">
    <dbPr connection="Provider=Microsoft.Mashup.OleDb.1;Data Source=$Workbook$;Location=&quot;474781138907_01&quot;;Extended Properties=&quot;&quot;" commandType="0"/>
  </connection>
  <connection id="251" xr16:uid="{5592D3DA-3CBF-460C-8A48-EEA8D2AA6FDF}" keepAlive="1" name="Connection1222" type="5" refreshedVersion="0" background="1">
    <dbPr connection="Provider=Microsoft.Mashup.OleDb.1;Data Source=$Workbook$;Location=&quot;474781138907_04&quot;;Extended Properties=&quot;&quot;" commandType="0"/>
  </connection>
  <connection id="252" xr16:uid="{D6ACCB85-E702-41FD-BE5A-FBA6F5C45083}" keepAlive="1" name="Connection1223" type="5" refreshedVersion="0" background="1">
    <dbPr connection="Provider=Microsoft.Mashup.OleDb.1;Data Source=$Workbook$;Location=&quot;474781139042_01&quot;;Extended Properties=&quot;&quot;" commandType="0"/>
  </connection>
  <connection id="253" xr16:uid="{8E439C77-87A1-4E08-A683-58EE4FE27FDE}" keepAlive="1" name="Connection1224" type="5" refreshedVersion="0" background="1">
    <dbPr connection="Provider=Microsoft.Mashup.OleDb.1;Data Source=$Workbook$;Location=&quot;474781139042_04&quot;;Extended Properties=&quot;&quot;" commandType="0"/>
  </connection>
  <connection id="254" xr16:uid="{8BAB8B6C-DF7A-4417-B9AA-055E643FA9A0}" keepAlive="1" name="Connection1225" type="5" refreshedVersion="0" background="1">
    <dbPr connection="Provider=Microsoft.Mashup.OleDb.1;Data Source=$Workbook$;Location=&quot;491605389144277_01&quot;;Extended Properties=&quot;&quot;" commandType="0"/>
  </connection>
  <connection id="255" xr16:uid="{4178AA46-B097-4F6C-B803-126B538C05CC}" keepAlive="1" name="Connection1226" type="5" refreshedVersion="0" background="1">
    <dbPr connection="Provider=Microsoft.Mashup.OleDb.1;Data Source=$Workbook$;Location=&quot;491605389144277_04&quot;;Extended Properties=&quot;&quot;" commandType="0"/>
  </connection>
  <connection id="256" xr16:uid="{C29F42B5-D3C9-4843-BA0B-E18E851E6B52}" keepAlive="1" name="Connection1227" type="5" refreshedVersion="0" background="1">
    <dbPr connection="Provider=Microsoft.Mashup.OleDb.1;Data Source=$Workbook$;Location=&quot;119002623090_01&quot;;Extended Properties=&quot;&quot;" commandType="0"/>
  </connection>
  <connection id="257" xr16:uid="{06759EA6-4710-47BF-B5DA-D2AE8DD3430C}" keepAlive="1" name="Connection1228" type="5" refreshedVersion="0" background="1">
    <dbPr connection="Provider=Microsoft.Mashup.OleDb.1;Data Source=$Workbook$;Location=&quot;119002623090_04&quot;;Extended Properties=&quot;&quot;" commandType="0"/>
  </connection>
  <connection id="258" xr16:uid="{CD6E09CF-A7AA-47F7-93D1-59D24402728A}" keepAlive="1" name="Connection1229" type="5" refreshedVersion="0" background="1">
    <dbPr connection="Provider=Microsoft.Mashup.OleDb.1;Data Source=$Workbook$;Location=&quot;391992058806_01&quot;;Extended Properties=&quot;&quot;" commandType="0"/>
  </connection>
  <connection id="259" xr16:uid="{FA36C395-9A3C-4037-88EF-6178FE0ADBE9}" keepAlive="1" name="Connection123" type="5" refreshedVersion="0" background="1">
    <dbPr connection="Provider=Microsoft.Mashup.OleDb.1;Data Source=$Workbook$;Location=&quot;770077683845_04&quot;;Extended Properties=&quot;&quot;" commandType="0"/>
  </connection>
  <connection id="260" xr16:uid="{968CC6CF-A4A5-4BF4-81B5-D7EA20C913C7}" keepAlive="1" name="Connection1230" type="5" refreshedVersion="0" background="1">
    <dbPr connection="Provider=Microsoft.Mashup.OleDb.1;Data Source=$Workbook$;Location=&quot;391992058806_04&quot;;Extended Properties=&quot;&quot;" commandType="0"/>
  </connection>
  <connection id="261" xr16:uid="{78B67A92-178A-4074-BF72-DFBA762A7854}" keepAlive="1" name="Connection1231" type="5" refreshedVersion="0" background="1">
    <dbPr connection="Provider=Microsoft.Mashup.OleDb.1;Data Source=$Workbook$;Location=&quot;392402754241_01&quot;;Extended Properties=&quot;&quot;" commandType="0"/>
  </connection>
  <connection id="262" xr16:uid="{0866290B-E751-4246-9DC2-C2E51BF59DC9}" keepAlive="1" name="Connection1232" type="5" refreshedVersion="0" background="1">
    <dbPr connection="Provider=Microsoft.Mashup.OleDb.1;Data Source=$Workbook$;Location=&quot;392402754241_04&quot;;Extended Properties=&quot;&quot;" commandType="0"/>
  </connection>
  <connection id="263" xr16:uid="{8BC2EC1D-F3D8-423E-B702-31278C950DC9}" keepAlive="1" name="Connection1233" type="5" refreshedVersion="0" background="1">
    <dbPr connection="Provider=Microsoft.Mashup.OleDb.1;Data Source=$Workbook$;Location=&quot;408282523013_01&quot;;Extended Properties=&quot;&quot;" commandType="0"/>
  </connection>
  <connection id="264" xr16:uid="{FECCCCE5-DA9B-4001-9414-D9E8948AC0DE}" keepAlive="1" name="Connection1234" type="5" refreshedVersion="0" background="1">
    <dbPr connection="Provider=Microsoft.Mashup.OleDb.1;Data Source=$Workbook$;Location=&quot;408282523013_04&quot;;Extended Properties=&quot;&quot;" commandType="0"/>
  </connection>
  <connection id="265" xr16:uid="{6F520C9D-761B-4217-AD77-BEA7F844A251}" keepAlive="1" name="Connection1235" type="5" refreshedVersion="0" background="1">
    <dbPr connection="Provider=Microsoft.Mashup.OleDb.1;Data Source=$Workbook$;Location=&quot;486504428992_01&quot;;Extended Properties=&quot;&quot;" commandType="0"/>
  </connection>
  <connection id="266" xr16:uid="{B7DD718C-472E-46E2-A27B-9CDD1B46E4D9}" keepAlive="1" name="Connection1236" type="5" refreshedVersion="0" background="1">
    <dbPr connection="Provider=Microsoft.Mashup.OleDb.1;Data Source=$Workbook$;Location=&quot;486504428992_04&quot;;Extended Properties=&quot;&quot;" commandType="0"/>
  </connection>
  <connection id="267" xr16:uid="{50BB5BF8-2C4C-41A8-A745-BB82C96C7FF5}" keepAlive="1" name="Connection1237" type="5" refreshedVersion="0" background="1">
    <dbPr connection="Provider=Microsoft.Mashup.OleDb.1;Data Source=$Workbook$;Location=&quot;748136415338919_01&quot;;Extended Properties=&quot;&quot;" commandType="0"/>
  </connection>
  <connection id="268" xr16:uid="{32024569-F59A-4BEB-8A9E-718B7494D14F}" keepAlive="1" name="Connection1238" type="5" refreshedVersion="0" background="1">
    <dbPr connection="Provider=Microsoft.Mashup.OleDb.1;Data Source=$Workbook$;Location=&quot;748136415338919_04&quot;;Extended Properties=&quot;&quot;" commandType="0"/>
  </connection>
  <connection id="269" xr16:uid="{C9758AD8-D3A3-4ED6-90BA-605695ACFAC4}" keepAlive="1" name="Connection1239" type="5" refreshedVersion="0" background="1">
    <dbPr connection="Provider=Microsoft.Mashup.OleDb.1;Data Source=$Workbook$;Location=&quot;981345817550345_01&quot;;Extended Properties=&quot;&quot;" commandType="0"/>
  </connection>
  <connection id="270" xr16:uid="{D12F68A4-3433-46F9-9DBA-C84A6436C6D7}" keepAlive="1" name="Connection124" type="5" refreshedVersion="0" background="1">
    <dbPr connection="Provider=Microsoft.Mashup.OleDb.1;Data Source=$Workbook$;Location=&quot;777965672843_01&quot;;Extended Properties=&quot;&quot;" commandType="0"/>
  </connection>
  <connection id="271" xr16:uid="{44340804-7842-4FFF-875E-160282D2102B}" keepAlive="1" name="Connection1240" type="5" refreshedVersion="0" background="1">
    <dbPr connection="Provider=Microsoft.Mashup.OleDb.1;Data Source=$Workbook$;Location=&quot;981345817550345_04&quot;;Extended Properties=&quot;&quot;" commandType="0"/>
  </connection>
  <connection id="272" xr16:uid="{6480F001-7D3C-49B8-9CF0-857959CC771F}" keepAlive="1" name="Connection125" type="5" refreshedVersion="0" background="1">
    <dbPr connection="Provider=Microsoft.Mashup.OleDb.1;Data Source=$Workbook$;Location=&quot;390228150620_01&quot;;Extended Properties=&quot;&quot;" commandType="0"/>
  </connection>
  <connection id="273" xr16:uid="{BDE407FD-86F0-4A7A-8605-93B17B06B7A9}" keepAlive="1" name="Connection126" type="5" refreshedVersion="0" background="1">
    <dbPr connection="Provider=Microsoft.Mashup.OleDb.1;Data Source=$Workbook$;Location=&quot;390228150620_04&quot;;Extended Properties=&quot;&quot;" commandType="0"/>
  </connection>
  <connection id="274" xr16:uid="{D50E6FF4-657B-46D1-AA57-2917995595EF}" keepAlive="1" name="Connection127" type="5" refreshedVersion="0" background="1">
    <dbPr connection="Provider=Microsoft.Mashup.OleDb.1;Data Source=$Workbook$;Location=&quot;390977038304_01&quot;;Extended Properties=&quot;&quot;" commandType="0"/>
  </connection>
  <connection id="275" xr16:uid="{15C3E7E8-6891-4294-8275-C04D81AA026C}" keepAlive="1" name="Connection128" type="5" refreshedVersion="0" background="1">
    <dbPr connection="Provider=Microsoft.Mashup.OleDb.1;Data Source=$Workbook$;Location=&quot;390977038359_01&quot;;Extended Properties=&quot;&quot;" commandType="0"/>
  </connection>
  <connection id="276" xr16:uid="{1C273846-11BF-4C19-AF32-438506311B3B}" keepAlive="1" name="Connection129" type="5" refreshedVersion="0" background="1">
    <dbPr connection="Provider=Microsoft.Mashup.OleDb.1;Data Source=$Workbook$;Location=&quot;175101075134_01&quot;;Extended Properties=&quot;&quot;" commandType="0"/>
  </connection>
  <connection id="277" xr16:uid="{5C8FB495-C57F-47D7-8794-F312390727FC}" keepAlive="1" name="Connection13" type="5" refreshedVersion="0" saveData="1">
    <dbPr connection="Provider=Microsoft.Mashup.OleDb.1;Data Source=$Workbook$;Location=&quot;153263965844&quot;;Extended Properties=&quot;&quot;" commandType="0"/>
  </connection>
  <connection id="278" xr16:uid="{88C904F8-9BEF-4BCA-9D21-161192851017}" keepAlive="1" name="Connection130" type="5" refreshedVersion="0" background="1">
    <dbPr connection="Provider=Microsoft.Mashup.OleDb.1;Data Source=$Workbook$;Location=&quot;175101075134_04&quot;;Extended Properties=&quot;&quot;" commandType="0"/>
  </connection>
  <connection id="279" xr16:uid="{53A702C4-3DB5-48BD-AAFF-94598C6011AB}" keepAlive="1" name="Connection131" type="5" refreshedVersion="0" background="1">
    <dbPr connection="Provider=Microsoft.Mashup.OleDb.1;Data Source=$Workbook$;Location=&quot;391263974525_01&quot;;Extended Properties=&quot;&quot;" commandType="0"/>
  </connection>
  <connection id="280" xr16:uid="{A16919B1-86BF-45D7-B197-8444002A7DCD}" keepAlive="1" name="Connection132" type="5" refreshedVersion="0" background="1">
    <dbPr connection="Provider=Microsoft.Mashup.OleDb.1;Data Source=$Workbook$;Location=&quot;391263974525_04&quot;;Extended Properties=&quot;&quot;" commandType="0"/>
  </connection>
  <connection id="281" xr16:uid="{CEB7669D-E106-494B-82FC-E0349E10CCB3}" keepAlive="1" name="Connection133" type="5" refreshedVersion="0" background="1">
    <dbPr connection="Provider=Microsoft.Mashup.OleDb.1;Data Source=$Workbook$;Location=&quot;391454935919_01&quot;;Extended Properties=&quot;&quot;" commandType="0"/>
  </connection>
  <connection id="282" xr16:uid="{4D8E45C6-249E-4F33-8BBB-20959DBAFE3F}" keepAlive="1" name="Connection134" type="5" refreshedVersion="0" background="1">
    <dbPr connection="Provider=Microsoft.Mashup.OleDb.1;Data Source=$Workbook$;Location=&quot;391454935919_04&quot;;Extended Properties=&quot;&quot;" commandType="0"/>
  </connection>
  <connection id="283" xr16:uid="{0FB55623-94BB-40FC-B95C-73AAAF0797A4}" keepAlive="1" name="Connection135" type="5" refreshedVersion="0" background="1">
    <dbPr connection="Provider=Microsoft.Mashup.OleDb.1;Data Source=$Workbook$;Location=&quot;770144066777_01&quot;;Extended Properties=&quot;&quot;" commandType="0"/>
  </connection>
  <connection id="284" xr16:uid="{7507F975-8403-4831-941A-130A2A604068}" keepAlive="1" name="Connection136" type="5" refreshedVersion="0" background="1">
    <dbPr connection="Provider=Microsoft.Mashup.OleDb.1;Data Source=$Workbook$;Location=&quot;770144066777_04&quot;;Extended Properties=&quot;&quot;" commandType="0"/>
  </connection>
  <connection id="285" xr16:uid="{DD5A8FF9-7776-476F-ABD5-F9EC45CC5CA4}" keepAlive="1" name="Connection137" type="5" refreshedVersion="0" background="1">
    <dbPr connection="Provider=Microsoft.Mashup.OleDb.1;Data Source=$Workbook$;Location=&quot;390536992100_01&quot;;Extended Properties=&quot;&quot;" commandType="0"/>
  </connection>
  <connection id="286" xr16:uid="{A52BFFB8-1B13-469C-A908-8C014890074D}" keepAlive="1" name="Connection138" type="5" refreshedVersion="0" background="1">
    <dbPr connection="Provider=Microsoft.Mashup.OleDb.1;Data Source=$Workbook$;Location=&quot;390536992100_04&quot;;Extended Properties=&quot;&quot;" commandType="0"/>
  </connection>
  <connection id="287" xr16:uid="{9735610B-F7A6-4E94-AC37-FF0BB4E39830}" keepAlive="1" name="Connection139" type="5" refreshedVersion="0" background="1">
    <dbPr connection="Provider=Microsoft.Mashup.OleDb.1;Data Source=$Workbook$;Location=&quot;391061835240_01&quot;;Extended Properties=&quot;&quot;" commandType="0"/>
  </connection>
  <connection id="288" xr16:uid="{B3C87AD0-6041-46D5-B6A1-55632A34A277}" keepAlive="1" name="Connection14" type="5" refreshedVersion="0" saveData="1">
    <dbPr connection="Provider=Microsoft.Mashup.OleDb.1;Data Source=$Workbook$;Location=&quot;391309290024&quot;;Extended Properties=&quot;&quot;" commandType="0"/>
  </connection>
  <connection id="289" xr16:uid="{CF58D795-DB6B-43A9-B7D5-28E78FAAAC08}" keepAlive="1" name="Connection140" type="5" refreshedVersion="0" background="1">
    <dbPr connection="Provider=Microsoft.Mashup.OleDb.1;Data Source=$Workbook$;Location=&quot;391061835240_04&quot;;Extended Properties=&quot;&quot;" commandType="0"/>
  </connection>
  <connection id="290" xr16:uid="{71AFF371-E563-44D2-953A-7FE6A4750B3A}" keepAlive="1" name="Connection141" type="5" refreshedVersion="0" background="1">
    <dbPr connection="Provider=Microsoft.Mashup.OleDb.1;Data Source=$Workbook$;Location=&quot;770027340313_01&quot;;Extended Properties=&quot;&quot;" commandType="0"/>
  </connection>
  <connection id="291" xr16:uid="{1B8440F9-9F53-4BE4-B2BF-8B32AF557BCC}" keepAlive="1" name="Connection142" type="5" refreshedVersion="0" background="1">
    <dbPr connection="Provider=Microsoft.Mashup.OleDb.1;Data Source=$Workbook$;Location=&quot;977225710740500_01&quot;;Extended Properties=&quot;&quot;" commandType="0"/>
  </connection>
  <connection id="292" xr16:uid="{1396A693-BC20-4552-905D-D3818E03AA86}" keepAlive="1" name="Connection143" type="5" refreshedVersion="0" background="1">
    <dbPr connection="Provider=Microsoft.Mashup.OleDb.1;Data Source=$Workbook$;Location=&quot;977225710740500_04&quot;;Extended Properties=&quot;&quot;" commandType="0"/>
  </connection>
  <connection id="293" xr16:uid="{AB4B3ECE-6050-4F5A-9F1F-DDF07B92F358}" keepAlive="1" name="Connection144" type="5" refreshedVersion="0" background="1">
    <dbPr connection="Provider=Microsoft.Mashup.OleDb.1;Data Source=$Workbook$;Location=&quot;977225710740524_01&quot;;Extended Properties=&quot;&quot;" commandType="0"/>
  </connection>
  <connection id="294" xr16:uid="{23D750B3-14EE-4B43-8E65-5FF0F0F264DA}" keepAlive="1" name="Connection145" type="5" refreshedVersion="0" background="1">
    <dbPr connection="Provider=Microsoft.Mashup.OleDb.1;Data Source=$Workbook$;Location=&quot;977225710740524_04&quot;;Extended Properties=&quot;&quot;" commandType="0"/>
  </connection>
  <connection id="295" xr16:uid="{118F8D99-2BF4-41B4-AE48-BCD7DE4BB649}" keepAlive="1" name="Connection146" type="5" refreshedVersion="0" background="1">
    <dbPr connection="Provider=Microsoft.Mashup.OleDb.1;Data Source=$Workbook$;Location=&quot;977225710740531_01&quot;;Extended Properties=&quot;&quot;" commandType="0"/>
  </connection>
  <connection id="296" xr16:uid="{6B0733A6-8121-4226-9129-1706A3FA1023}" keepAlive="1" name="Connection147" type="5" refreshedVersion="0" background="1">
    <dbPr connection="Provider=Microsoft.Mashup.OleDb.1;Data Source=$Workbook$;Location=&quot;977225710740531_04&quot;;Extended Properties=&quot;&quot;" commandType="0"/>
  </connection>
  <connection id="297" xr16:uid="{D5F08DFB-9571-4722-BB9C-4F4F7C909B11}" keepAlive="1" name="Connection148" type="5" refreshedVersion="0" saveData="1">
    <dbPr connection="Provider=Microsoft.Mashup.OleDb.1;Data Source=$Workbook$;Location=&quot;977225710740531_01&quot;;Extended Properties=&quot;&quot;" commandType="0"/>
  </connection>
  <connection id="298" xr16:uid="{4500673A-B4F7-41F9-9D38-46655F11F117}" keepAlive="1" name="Connection149" type="5" refreshedVersion="0" saveData="1">
    <dbPr connection="Provider=Microsoft.Mashup.OleDb.1;Data Source=$Workbook$;Location=&quot;390785258830_01&quot;;Extended Properties=&quot;&quot;" commandType="0"/>
  </connection>
  <connection id="299" xr16:uid="{A00F8CA1-0640-49A2-9254-C7E90A18D00F}" keepAlive="1" name="Connection15" type="5" refreshedVersion="0" saveData="1">
    <dbPr connection="Provider=Microsoft.Mashup.OleDb.1;Data Source=$Workbook$;Location=&quot;153263965844&quot;;Extended Properties=&quot;&quot;" commandType="0"/>
  </connection>
  <connection id="300" xr16:uid="{2F966648-F7BB-4238-ABEE-B79775655CDF}" keepAlive="1" name="Connection150" type="5" refreshedVersion="0" background="1">
    <dbPr connection="Provider=Microsoft.Mashup.OleDb.1;Data Source=$Workbook$;Location=&quot;390785258830_04&quot;;Extended Properties=&quot;&quot;" commandType="0"/>
  </connection>
  <connection id="301" xr16:uid="{2E4017AA-3C2D-486A-84AE-EC6425FD69F9}" keepAlive="1" name="Connection151" type="5" refreshedVersion="0" background="1">
    <dbPr connection="Provider=Microsoft.Mashup.OleDb.1;Data Source=$Workbook$;Location=&quot;134055242569_04&quot;;Extended Properties=&quot;&quot;" commandType="0"/>
  </connection>
  <connection id="302" xr16:uid="{3117D7BC-0DEC-414E-B10D-53DA87F69CA7}" keepAlive="1" name="Connection152" type="5" refreshedVersion="0" background="1">
    <dbPr connection="Provider=Microsoft.Mashup.OleDb.1;Data Source=$Workbook$;Location=&quot;134055242569_01&quot;;Extended Properties=&quot;&quot;" commandType="0"/>
  </connection>
  <connection id="303" xr16:uid="{9A5488A1-4A65-46D6-B131-5C859F8AC3E0}" keepAlive="1" name="Connection153" type="5" refreshedVersion="0" background="1">
    <dbPr connection="Provider=Microsoft.Mashup.OleDb.1;Data Source=$Workbook$;Location=&quot;977225710740500_04&quot;;Extended Properties=&quot;&quot;" commandType="0"/>
  </connection>
  <connection id="304" xr16:uid="{B412194D-09AA-40BE-A6AE-D7E77F39D084}" keepAlive="1" name="Connection154" type="5" refreshedVersion="0" background="1">
    <dbPr connection="Provider=Microsoft.Mashup.OleDb.1;Data Source=$Workbook$;Location=&quot;977225710740500_01&quot;;Extended Properties=&quot;&quot;" commandType="0"/>
  </connection>
  <connection id="305" xr16:uid="{23554084-211F-4C2B-943D-0CFC06A0F9A5}" keepAlive="1" name="Connection155" type="5" refreshedVersion="0" background="1">
    <dbPr connection="Provider=Microsoft.Mashup.OleDb.1;Data Source=$Workbook$;Location=&quot;977225710740500_04&quot;;Extended Properties=&quot;&quot;" commandType="0"/>
  </connection>
  <connection id="306" xr16:uid="{BA78CD77-3BE1-457E-AD8E-1387192EF8D2}" keepAlive="1" name="Connection156" type="5" refreshedVersion="0" background="1">
    <dbPr connection="Provider=Microsoft.Mashup.OleDb.1;Data Source=$Workbook$;Location=&quot;977225710740524_01&quot;;Extended Properties=&quot;&quot;" commandType="0"/>
  </connection>
  <connection id="307" xr16:uid="{4D2A9317-0088-4658-A716-FA9D868EC695}" keepAlive="1" name="Connection157" type="5" refreshedVersion="0" background="1">
    <dbPr connection="Provider=Microsoft.Mashup.OleDb.1;Data Source=$Workbook$;Location=&quot;977225710740524_04&quot;;Extended Properties=&quot;&quot;" commandType="0"/>
  </connection>
  <connection id="308" xr16:uid="{F4939CAF-4C06-4BE4-9FAA-E4D234890E62}" keepAlive="1" name="Connection158" type="5" refreshedVersion="0" background="1">
    <dbPr connection="Provider=Microsoft.Mashup.OleDb.1;Data Source=$Workbook$;Location=&quot;977225710740531_01&quot;;Extended Properties=&quot;&quot;" commandType="0"/>
  </connection>
  <connection id="309" xr16:uid="{CFFC830D-7FE1-4DDE-879B-B045FDAC9B83}" keepAlive="1" name="Connection159" type="5" refreshedVersion="0" background="1">
    <dbPr connection="Provider=Microsoft.Mashup.OleDb.1;Data Source=$Workbook$;Location=&quot;977225710740500_01&quot;;Extended Properties=&quot;&quot;" commandType="0"/>
  </connection>
  <connection id="310" xr16:uid="{EF71AB73-659B-4FEB-B466-1DDA2CE56FBF}" keepAlive="1" name="Connection16" type="5" refreshedVersion="0" saveData="1">
    <dbPr connection="Provider=Microsoft.Mashup.OleDb.1;Data Source=$Workbook$;Location=&quot;391309290024_01&quot;;Extended Properties=&quot;&quot;" commandType="0"/>
  </connection>
  <connection id="311" xr16:uid="{B17E598F-D3CD-41C4-B0AB-8C2961D8AD15}" keepAlive="1" name="Connection160" type="5" refreshedVersion="0" background="1">
    <dbPr connection="Provider=Microsoft.Mashup.OleDb.1;Data Source=$Workbook$;Location=&quot;977225710740500_04&quot;;Extended Properties=&quot;&quot;" commandType="0"/>
  </connection>
  <connection id="312" xr16:uid="{234ACE2D-78EA-4BC1-A840-DC31037A7E0B}" keepAlive="1" name="Connection161" type="5" refreshedVersion="0" background="1">
    <dbPr connection="Provider=Microsoft.Mashup.OleDb.1;Data Source=$Workbook$;Location=&quot;977225710740524_01&quot;;Extended Properties=&quot;&quot;" commandType="0"/>
  </connection>
  <connection id="313" xr16:uid="{94B152E2-065D-4966-ACA0-CCB0A387E3E4}" keepAlive="1" name="Connection162" type="5" refreshedVersion="0" background="1">
    <dbPr connection="Provider=Microsoft.Mashup.OleDb.1;Data Source=$Workbook$;Location=&quot;977225710740524_04&quot;;Extended Properties=&quot;&quot;" commandType="0"/>
  </connection>
  <connection id="314" xr16:uid="{2D1157A2-E266-4139-B45E-DDDCF4992733}" keepAlive="1" name="Connection163" type="5" refreshedVersion="0" background="1">
    <dbPr connection="Provider=Microsoft.Mashup.OleDb.1;Data Source=$Workbook$;Location=&quot;977225710740531_01&quot;;Extended Properties=&quot;&quot;" commandType="0"/>
  </connection>
  <connection id="315" xr16:uid="{01D7E43C-3B19-4444-95F5-EC8830FDA60C}" keepAlive="1" name="Connection164" type="5" refreshedVersion="0" background="1">
    <dbPr connection="Provider=Microsoft.Mashup.OleDb.1;Data Source=$Workbook$;Location=&quot;977225710740531_04&quot;;Extended Properties=&quot;&quot;" commandType="0"/>
  </connection>
  <connection id="316" xr16:uid="{18B1079B-23C7-4B65-936F-592A200477EF}" keepAlive="1" name="Connection165" type="5" refreshedVersion="0" background="1">
    <dbPr connection="Provider=Microsoft.Mashup.OleDb.1;Data Source=$Workbook$;Location=&quot;104051803136_04&quot;;Extended Properties=&quot;&quot;" commandType="0"/>
  </connection>
  <connection id="317" xr16:uid="{9724CE4B-1C62-4E36-9D75-BFBB7BB95682}" keepAlive="1" name="Connection166" type="5" refreshedVersion="0" background="1">
    <dbPr connection="Provider=Microsoft.Mashup.OleDb.1;Data Source=$Workbook$;Location=&quot;149854953655_04&quot;;Extended Properties=&quot;&quot;" commandType="0"/>
  </connection>
  <connection id="318" xr16:uid="{12763DDE-E883-4BB7-A790-988DAD25EFE4}" keepAlive="1" name="Connection167" type="5" refreshedVersion="0" background="1">
    <dbPr connection="Provider=Microsoft.Mashup.OleDb.1;Data Source=$Workbook$;Location=&quot;134055242569_04&quot;;Extended Properties=&quot;&quot;" commandType="0"/>
  </connection>
  <connection id="319" xr16:uid="{7D591D74-6769-4F06-9381-FB455851F378}" keepAlive="1" name="Connection168" type="5" refreshedVersion="0" background="1">
    <dbPr connection="Provider=Microsoft.Mashup.OleDb.1;Data Source=$Workbook$;Location=&quot;150770049600_04&quot;;Extended Properties=&quot;&quot;" commandType="0"/>
  </connection>
  <connection id="320" xr16:uid="{E5E3B230-96EC-4AC6-8E75-E98C02EADCE3}" keepAlive="1" name="Connection169" type="5" refreshedVersion="0" background="1">
    <dbPr connection="Provider=Microsoft.Mashup.OleDb.1;Data Source=$Workbook$;Location=&quot;146036927820_04&quot;;Extended Properties=&quot;&quot;" commandType="0"/>
  </connection>
  <connection id="321" xr16:uid="{FE98BB2C-29B7-4753-B349-DB268695409E}" keepAlive="1" name="Connection17" type="5" refreshedVersion="0" saveData="1">
    <dbPr connection="Provider=Microsoft.Mashup.OleDb.1;Data Source=$Workbook$;Location=&quot;123578321012_01&quot;;Extended Properties=&quot;&quot;" commandType="0"/>
  </connection>
  <connection id="322" xr16:uid="{437BCCFE-0E7D-4368-B134-DDA9373EE75C}" keepAlive="1" name="Connection170" type="5" refreshedVersion="0" background="1">
    <dbPr connection="Provider=Microsoft.Mashup.OleDb.1;Data Source=$Workbook$;Location=&quot;153381380390_04&quot;;Extended Properties=&quot;&quot;" commandType="0"/>
  </connection>
  <connection id="323" xr16:uid="{A0CED9E5-1E7B-44EB-AA0B-0AD50C1D2D98}" keepAlive="1" name="Connection171" type="5" refreshedVersion="0" background="1">
    <dbPr connection="Provider=Microsoft.Mashup.OleDb.1;Data Source=$Workbook$;Location=&quot;390917631300_04&quot;;Extended Properties=&quot;&quot;" commandType="0"/>
  </connection>
  <connection id="324" xr16:uid="{D9666046-F2CE-4113-8D2C-A3AF2DC45C3F}" keepAlive="1" name="Connection172" type="5" refreshedVersion="0" background="1">
    <dbPr connection="Provider=Microsoft.Mashup.OleDb.1;Data Source=$Workbook$;Location=&quot;104051803136_04&quot;;Extended Properties=&quot;&quot;" commandType="0"/>
  </connection>
  <connection id="325" xr16:uid="{94236793-F33C-4916-8CC9-CFCAAB84DF48}" keepAlive="1" name="Connection173" type="5" refreshedVersion="0" background="1">
    <dbPr connection="Provider=Microsoft.Mashup.OleDb.1;Data Source=$Workbook$;Location=&quot;149854953655_04&quot;;Extended Properties=&quot;&quot;" commandType="0"/>
  </connection>
  <connection id="326" xr16:uid="{F884088E-BA99-4FD0-91C0-52E3E624E30A}" keepAlive="1" name="Connection174" type="5" refreshedVersion="0" background="1">
    <dbPr connection="Provider=Microsoft.Mashup.OleDb.1;Data Source=$Workbook$;Location=&quot;391525231987_04&quot;;Extended Properties=&quot;&quot;" commandType="0"/>
  </connection>
  <connection id="327" xr16:uid="{0C0BC61B-BD7C-4ECE-9005-BE6F2F6C76DE}" keepAlive="1" name="Connection175" type="5" refreshedVersion="0" background="1">
    <dbPr connection="Provider=Microsoft.Mashup.OleDb.1;Data Source=$Workbook$;Location=&quot;390970989095_04&quot;;Extended Properties=&quot;&quot;" commandType="0"/>
  </connection>
  <connection id="328" xr16:uid="{452DA406-57EF-42D5-8F59-5177A92C8926}" keepAlive="1" name="Connection176" type="5" refreshedVersion="0" background="1">
    <dbPr connection="Provider=Microsoft.Mashup.OleDb.1;Data Source=$Workbook$;Location=&quot;153263965844_01&quot;;Extended Properties=&quot;&quot;" commandType="0"/>
  </connection>
  <connection id="329" xr16:uid="{A4F1456B-5099-4281-BFF9-6599F4915D10}" keepAlive="1" name="Connection177" type="5" refreshedVersion="0" background="1">
    <dbPr connection="Provider=Microsoft.Mashup.OleDb.1;Data Source=$Workbook$;Location=&quot;153263965844_04&quot;;Extended Properties=&quot;&quot;" commandType="0"/>
  </connection>
  <connection id="330" xr16:uid="{5CB8CA0E-79CE-4508-A9D6-E8B4A6674565}" keepAlive="1" name="Connection178" type="5" refreshedVersion="0" background="1">
    <dbPr connection="Provider=Microsoft.Mashup.OleDb.1;Data Source=$Workbook$;Location=&quot;153263969644_01&quot;;Extended Properties=&quot;&quot;" commandType="0"/>
  </connection>
  <connection id="331" xr16:uid="{03E2E3B6-BAAA-4C14-BF00-0E1F8CD6CC6F}" keepAlive="1" name="Connection179" type="5" refreshedVersion="0" background="1">
    <dbPr connection="Provider=Microsoft.Mashup.OleDb.1;Data Source=$Workbook$;Location=&quot;153263969644_04&quot;;Extended Properties=&quot;&quot;" commandType="0"/>
  </connection>
  <connection id="332" xr16:uid="{9695A773-95F5-45A5-8BFE-72AFF5B742BA}" keepAlive="1" name="Connection18" type="5" refreshedVersion="0" saveData="1">
    <dbPr connection="Provider=Microsoft.Mashup.OleDb.1;Data Source=$Workbook$;Location=&quot;123578321012_01&quot;;Extended Properties=&quot;&quot;" commandType="0"/>
  </connection>
  <connection id="333" xr16:uid="{0D010B51-AE3B-4671-9F72-2018903149DA}" keepAlive="1" name="Connection180" type="5" refreshedVersion="0" background="1">
    <dbPr connection="Provider=Microsoft.Mashup.OleDb.1;Data Source=$Workbook$;Location=&quot;770077683845_01&quot;;Extended Properties=&quot;&quot;" commandType="0"/>
  </connection>
  <connection id="334" xr16:uid="{4DAACB1F-92BA-459E-B15E-77D42F505898}" keepAlive="1" name="Connection181" type="5" refreshedVersion="0" background="1">
    <dbPr connection="Provider=Microsoft.Mashup.OleDb.1;Data Source=$Workbook$;Location=&quot;770077683845_04&quot;;Extended Properties=&quot;&quot;" commandType="0"/>
  </connection>
  <connection id="335" xr16:uid="{11E8ED98-8EF8-4A37-805E-2E3B0171E558}" keepAlive="1" name="Connection182" type="5" refreshedVersion="0" background="1">
    <dbPr connection="Provider=Microsoft.Mashup.OleDb.1;Data Source=$Workbook$;Location=&quot;153263965844_01&quot;;Extended Properties=&quot;&quot;" commandType="0"/>
  </connection>
  <connection id="336" xr16:uid="{AC955585-B424-4471-B2E0-E53988553F87}" keepAlive="1" name="Connection183" type="5" refreshedVersion="0" background="1">
    <dbPr connection="Provider=Microsoft.Mashup.OleDb.1;Data Source=$Workbook$;Location=&quot;153263965844_04&quot;;Extended Properties=&quot;&quot;" commandType="0"/>
  </connection>
  <connection id="337" xr16:uid="{C1291889-0FC4-4FCF-A2C9-6DB26B2B07D7}" keepAlive="1" name="Connection184" type="5" refreshedVersion="0" background="1">
    <dbPr connection="Provider=Microsoft.Mashup.OleDb.1;Data Source=$Workbook$;Location=&quot;153263969644_01&quot;;Extended Properties=&quot;&quot;" commandType="0"/>
  </connection>
  <connection id="338" xr16:uid="{93BF84B2-74E9-4244-B019-AA6051A9033D}" keepAlive="1" name="Connection185" type="5" refreshedVersion="0" background="1">
    <dbPr connection="Provider=Microsoft.Mashup.OleDb.1;Data Source=$Workbook$;Location=&quot;153263969644_04&quot;;Extended Properties=&quot;&quot;" commandType="0"/>
  </connection>
  <connection id="339" xr16:uid="{E3CDC60D-8514-40B3-8861-9540B79DF37B}" keepAlive="1" name="Connection186" type="5" refreshedVersion="0" background="1">
    <dbPr connection="Provider=Microsoft.Mashup.OleDb.1;Data Source=$Workbook$;Location=&quot;770077683845_01&quot;;Extended Properties=&quot;&quot;" commandType="0"/>
  </connection>
  <connection id="340" xr16:uid="{EE2507D5-F41B-4B49-B647-A21E7F0A9E80}" keepAlive="1" name="Connection187" type="5" refreshedVersion="0" background="1">
    <dbPr connection="Provider=Microsoft.Mashup.OleDb.1;Data Source=$Workbook$;Location=&quot;770077683845_04&quot;;Extended Properties=&quot;&quot;" commandType="0"/>
  </connection>
  <connection id="341" xr16:uid="{979902FD-C74A-4E66-BD7A-447E73D7A90F}" keepAlive="1" name="Connection188" type="5" refreshedVersion="0" background="1">
    <dbPr connection="Provider=Microsoft.Mashup.OleDb.1;Data Source=$Workbook$;Location=&quot;101714306160_01&quot;;Extended Properties=&quot;&quot;" commandType="0"/>
  </connection>
  <connection id="342" xr16:uid="{B081C918-7727-4CF3-A86C-A128CDF1C385}" keepAlive="1" name="Connection189" type="5" refreshedVersion="0" background="1">
    <dbPr connection="Provider=Microsoft.Mashup.OleDb.1;Data Source=$Workbook$;Location=&quot;101714306160_04&quot;;Extended Properties=&quot;&quot;" commandType="0"/>
  </connection>
  <connection id="343" xr16:uid="{01BC161D-C7EC-404E-9A66-15FE8B05DFC5}" keepAlive="1" name="Connection19" type="5" refreshedVersion="0" saveData="1">
    <dbPr connection="Provider=Microsoft.Mashup.OleDb.1;Data Source=$Workbook$;Location=&quot;123578321012_01&quot;;Extended Properties=&quot;&quot;" commandType="0"/>
  </connection>
  <connection id="344" xr16:uid="{BCFFB11B-3EB2-443B-99BA-E67D9964897A}" keepAlive="1" name="Connection190" type="5" refreshedVersion="0" background="1">
    <dbPr connection="Provider=Microsoft.Mashup.OleDb.1;Data Source=$Workbook$;Location=&quot;390977038359_01&quot;;Extended Properties=&quot;&quot;" commandType="0"/>
  </connection>
  <connection id="345" xr16:uid="{BE05A547-0076-4562-B55E-038295261A99}" keepAlive="1" name="Connection191" type="5" refreshedVersion="0" background="1">
    <dbPr connection="Provider=Microsoft.Mashup.OleDb.1;Data Source=$Workbook$;Location=&quot;175101075134_01&quot;;Extended Properties=&quot;&quot;" commandType="0"/>
  </connection>
  <connection id="346" xr16:uid="{3A1F44F2-B101-43FA-AA36-473756869B91}" keepAlive="1" name="Connection192" type="5" refreshedVersion="0" background="1">
    <dbPr connection="Provider=Microsoft.Mashup.OleDb.1;Data Source=$Workbook$;Location=&quot;175101075134_04&quot;;Extended Properties=&quot;&quot;" commandType="0"/>
  </connection>
  <connection id="347" xr16:uid="{44FE317F-D87A-4984-9658-C45F51AF1C92}" keepAlive="1" name="Connection193" type="5" refreshedVersion="0" background="1">
    <dbPr connection="Provider=Microsoft.Mashup.OleDb.1;Data Source=$Workbook$;Location=&quot;391263974525_01&quot;;Extended Properties=&quot;&quot;" commandType="0"/>
  </connection>
  <connection id="348" xr16:uid="{953EC38B-50C8-4A87-BE27-1E22604726CA}" keepAlive="1" name="Connection194" type="5" refreshedVersion="0" background="1">
    <dbPr connection="Provider=Microsoft.Mashup.OleDb.1;Data Source=$Workbook$;Location=&quot;391263974525_04&quot;;Extended Properties=&quot;&quot;" commandType="0"/>
  </connection>
  <connection id="349" xr16:uid="{3E331090-9E32-4E52-9B03-27F9353E70A5}" keepAlive="1" name="Connection195" type="5" refreshedVersion="0" background="1">
    <dbPr connection="Provider=Microsoft.Mashup.OleDb.1;Data Source=$Workbook$;Location=&quot;391454935919_01&quot;;Extended Properties=&quot;&quot;" commandType="0"/>
  </connection>
  <connection id="350" xr16:uid="{E913B4F6-7C3F-42A9-A741-55C3766140F1}" keepAlive="1" name="Connection196" type="5" refreshedVersion="0" background="1">
    <dbPr connection="Provider=Microsoft.Mashup.OleDb.1;Data Source=$Workbook$;Location=&quot;391454935919_04&quot;;Extended Properties=&quot;&quot;" commandType="0"/>
  </connection>
  <connection id="351" xr16:uid="{68E87276-1DDF-4164-8090-FE17122989F9}" keepAlive="1" name="Connection197" type="5" refreshedVersion="0" background="1">
    <dbPr connection="Provider=Microsoft.Mashup.OleDb.1;Data Source=$Workbook$;Location=&quot;770144066777_01&quot;;Extended Properties=&quot;&quot;" commandType="0"/>
  </connection>
  <connection id="352" xr16:uid="{7C6F0B20-6856-4BF3-A988-9452C8FB43D1}" keepAlive="1" name="Connection198" type="5" refreshedVersion="0" background="1">
    <dbPr connection="Provider=Microsoft.Mashup.OleDb.1;Data Source=$Workbook$;Location=&quot;770144066777_04&quot;;Extended Properties=&quot;&quot;" commandType="0"/>
  </connection>
  <connection id="353" xr16:uid="{2D12461A-5133-4DA1-8C0A-21376BEDD289}" keepAlive="1" name="Connection199" type="5" refreshedVersion="0" background="1">
    <dbPr connection="Provider=Microsoft.Mashup.OleDb.1;Data Source=$Workbook$;Location=&quot;391061835240_01&quot;;Extended Properties=&quot;&quot;" commandType="0"/>
  </connection>
  <connection id="354" xr16:uid="{48967E37-CE68-4F4F-A5C9-1E2F69AE1639}" keepAlive="1" name="Connection2" type="5" refreshedVersion="0" saveData="1">
    <dbPr connection="Provider=Microsoft.Mashup.OleDb.1;Data Source=$Workbook$;Location=&quot;153263965844&quot;;Extended Properties=&quot;&quot;" commandType="0"/>
  </connection>
  <connection id="355" xr16:uid="{72CE79A9-7FE7-4E7D-8C4D-F4CCE927B5ED}" keepAlive="1" name="Connection20" type="5" refreshedVersion="0" saveData="1">
    <dbPr connection="Provider=Microsoft.Mashup.OleDb.1;Data Source=$Workbook$;Location=&quot;123578321012_01&quot;;Extended Properties=&quot;&quot;" commandType="0"/>
  </connection>
  <connection id="356" xr16:uid="{EEFFA02A-8FA1-4D0D-B30E-B6E60A4B7C7D}" keepAlive="1" name="Connection200" type="5" refreshedVersion="0" background="1">
    <dbPr connection="Provider=Microsoft.Mashup.OleDb.1;Data Source=$Workbook$;Location=&quot;391061835240_04&quot;;Extended Properties=&quot;&quot;" commandType="0"/>
  </connection>
  <connection id="357" xr16:uid="{A2687B54-69EF-4444-AEED-0D1452FB19DC}" keepAlive="1" name="Connection201" type="5" refreshedVersion="0" background="1">
    <dbPr connection="Provider=Microsoft.Mashup.OleDb.1;Data Source=$Workbook$;Location=&quot;770027340313_01&quot;;Extended Properties=&quot;&quot;" commandType="0"/>
  </connection>
  <connection id="358" xr16:uid="{0594F81F-040A-43CD-9620-4480263C8700}" keepAlive="1" name="Connection202" type="5" refreshedVersion="6" background="1" saveData="1">
    <dbPr connection="Provider=Microsoft.Mashup.OleDb.1;Data Source=$Workbook$;Location=770144066777_01;Extended Properties=&quot;&quot;" command="SELECT * FROM [770144066777_01]"/>
  </connection>
  <connection id="359" xr16:uid="{A296A130-A8F4-4356-B8FF-0283C879A05A}" keepAlive="1" name="Connection203" type="5" refreshedVersion="6" background="1" saveData="1">
    <dbPr connection="Provider=Microsoft.Mashup.OleDb.1;Data Source=$Workbook$;Location=770144066777_04;Extended Properties=&quot;&quot;" command="SELECT * FROM [770144066777_04]"/>
  </connection>
  <connection id="360" xr16:uid="{033C23AB-D6DE-45BE-8DD4-8602C3D3392D}" keepAlive="1" name="Connection204" type="5" refreshedVersion="0" background="1">
    <dbPr connection="Provider=Microsoft.Mashup.OleDb.1;Data Source=$Workbook$;Location=&quot;770027340313_01&quot;;Extended Properties=&quot;&quot;" commandType="0"/>
  </connection>
  <connection id="361" xr16:uid="{900FFAFB-535D-431E-842A-59F1B794F0F1}" keepAlive="1" name="Connection205" type="5" refreshedVersion="0" saveData="1">
    <dbPr connection="Provider=Microsoft.Mashup.OleDb.1;Data Source=$Workbook$;Location=&quot;770027340313_01&quot;;Extended Properties=&quot;&quot;" commandType="0"/>
  </connection>
  <connection id="362" xr16:uid="{86DCB0F8-B554-4093-805C-28520D0A6D1A}" keepAlive="1" name="Connection206" type="5" refreshedVersion="0" saveData="1">
    <dbPr connection="Provider=Microsoft.Mashup.OleDb.1;Data Source=$Workbook$;Location=&quot;390970989095_04&quot;;Extended Properties=&quot;&quot;" commandType="0"/>
  </connection>
  <connection id="363" xr16:uid="{444CA88A-AA91-405A-9909-0BED857DB007}" keepAlive="1" name="Connection207" type="5" refreshedVersion="0" saveData="1">
    <dbPr connection="Provider=Microsoft.Mashup.OleDb.1;Data Source=$Workbook$;Location=&quot;390970989095_04&quot;;Extended Properties=&quot;&quot;" commandType="0"/>
  </connection>
  <connection id="364" xr16:uid="{473A466A-EFD9-4871-9A1F-ACDD34E221BB}" keepAlive="1" name="Connection208" type="5" refreshedVersion="0" saveData="1">
    <dbPr connection="Provider=Microsoft.Mashup.OleDb.1;Data Source=$Workbook$;Location=&quot;391525231987_01&quot;;Extended Properties=&quot;&quot;" commandType="0"/>
  </connection>
  <connection id="365" xr16:uid="{99CAD302-680A-413A-AD27-CC8E02E292FF}" keepAlive="1" name="Connection209" type="5" refreshedVersion="0" background="1">
    <dbPr connection="Provider=Microsoft.Mashup.OleDb.1;Data Source=$Workbook$;Location=&quot;391061835240_01&quot;;Extended Properties=&quot;&quot;" commandType="0"/>
  </connection>
  <connection id="366" xr16:uid="{828D283E-687F-446B-93A5-6A0D3E99FAB1}" keepAlive="1" name="Connection21" type="5" refreshedVersion="0" saveData="1">
    <dbPr connection="Provider=Microsoft.Mashup.OleDb.1;Data Source=$Workbook$;Location=&quot;123578321012_01&quot;;Extended Properties=&quot;&quot;" commandType="0"/>
  </connection>
  <connection id="367" xr16:uid="{425FAA21-AC4E-4713-AF9B-860B7EDD2088}" keepAlive="1" name="Connection210" type="5" refreshedVersion="0" background="1">
    <dbPr connection="Provider=Microsoft.Mashup.OleDb.1;Data Source=$Workbook$;Location=&quot;391061835240_04&quot;;Extended Properties=&quot;&quot;" commandType="0"/>
  </connection>
  <connection id="368" xr16:uid="{8E1F1A51-4BBF-4494-84F2-C476934D151C}" keepAlive="1" name="Connection211" type="5" refreshedVersion="0" background="1">
    <dbPr connection="Provider=Microsoft.Mashup.OleDb.1;Data Source=$Workbook$;Location=&quot;770027340313_01&quot;;Extended Properties=&quot;&quot;" commandType="0"/>
  </connection>
  <connection id="369" xr16:uid="{1BB1D2EB-3899-4786-AF0F-1FFE6CE5CA02}" keepAlive="1" name="Connection212" type="5" refreshedVersion="0" background="1">
    <dbPr connection="Provider=Microsoft.Mashup.OleDb.1;Data Source=$Workbook$;Location=&quot;391525231987_04&quot;;Extended Properties=&quot;&quot;" commandType="0"/>
  </connection>
  <connection id="370" xr16:uid="{37151A5F-EF5B-4A65-AB8D-114F723087D0}" keepAlive="1" name="Connection213" type="5" refreshedVersion="0" background="1">
    <dbPr connection="Provider=Microsoft.Mashup.OleDb.1;Data Source=$Workbook$;Location=&quot;390970989095_04&quot;;Extended Properties=&quot;&quot;" commandType="0"/>
  </connection>
  <connection id="371" xr16:uid="{68CF089C-DAE7-4337-A7B3-3F9BADCAC44E}" keepAlive="1" name="Connection214" type="5" refreshedVersion="0" saveData="1">
    <dbPr connection="Provider=Microsoft.Mashup.OleDb.1;Data Source=$Workbook$;Location=&quot;770027340313_04&quot;;Extended Properties=&quot;&quot;" commandType="0"/>
  </connection>
  <connection id="372" xr16:uid="{C7529BC2-7B87-4BBC-8A39-B3E0340EC699}" keepAlive="1" name="Connection215" type="5" refreshedVersion="0" saveData="1">
    <dbPr connection="Provider=Microsoft.Mashup.OleDb.1;Data Source=$Workbook$;Location=&quot;770027340313_01&quot;;Extended Properties=&quot;&quot;" commandType="0"/>
  </connection>
  <connection id="373" xr16:uid="{76E1CC28-DDE8-40D9-BA61-9788E18256A3}" keepAlive="1" name="Connection216" type="5" refreshedVersion="0" saveData="1">
    <dbPr connection="Provider=Microsoft.Mashup.OleDb.1;Data Source=$Workbook$;Location=&quot;391061835240_01&quot;;Extended Properties=&quot;&quot;" commandType="0"/>
  </connection>
  <connection id="374" xr16:uid="{F149BC28-8B4C-4F8B-B1EE-490376302BEA}" keepAlive="1" name="Connection217" type="5" refreshedVersion="0" saveData="1">
    <dbPr connection="Provider=Microsoft.Mashup.OleDb.1;Data Source=$Workbook$;Location=&quot;391061835240_04&quot;;Extended Properties=&quot;&quot;" commandType="0"/>
  </connection>
  <connection id="375" xr16:uid="{76B6407F-712B-40D1-9EB5-1D2BDF4C928E}" keepAlive="1" name="Connection218" type="5" refreshedVersion="0" saveData="1">
    <dbPr connection="Provider=Microsoft.Mashup.OleDb.1;Data Source=$Workbook$;Location=&quot;391525231987_04&quot;;Extended Properties=&quot;&quot;" commandType="0"/>
  </connection>
  <connection id="376" xr16:uid="{2AE7B7B7-E82C-487B-B5B0-D316FFD88AD7}" keepAlive="1" name="Connection219" type="5" refreshedVersion="0" background="1">
    <dbPr connection="Provider=Microsoft.Mashup.OleDb.1;Data Source=$Workbook$;Location=&quot;390970989095_04&quot;;Extended Properties=&quot;&quot;" commandType="0"/>
  </connection>
  <connection id="377" xr16:uid="{53A303FA-F229-47DC-8C1D-7F5449BC9A61}" keepAlive="1" name="Connection22" type="5" refreshedVersion="0" saveData="1">
    <dbPr connection="Provider=Microsoft.Mashup.OleDb.1;Data Source=$Workbook$;Location=&quot;123578321012_01&quot;;Extended Properties=&quot;&quot;" commandType="0"/>
  </connection>
  <connection id="378" xr16:uid="{0A2686D8-7640-4C86-A863-495671C6A77F}" keepAlive="1" name="Connection220" type="5" refreshedVersion="0" background="1">
    <dbPr connection="Provider=Microsoft.Mashup.OleDb.1;Data Source=$Workbook$;Location=&quot;770027340313_01&quot;;Extended Properties=&quot;&quot;" commandType="0"/>
  </connection>
  <connection id="379" xr16:uid="{EAB52AE6-7C40-4C42-BF01-8FDDF827D5D2}" keepAlive="1" name="Connection221" type="5" refreshedVersion="0" saveData="1">
    <dbPr connection="Provider=Microsoft.Mashup.OleDb.1;Data Source=$Workbook$;Location=&quot;278616910755535_04&quot;;Extended Properties=&quot;&quot;" commandType="0"/>
  </connection>
  <connection id="380" xr16:uid="{678C2330-E114-4BFE-BC7F-305FA870F1A1}" keepAlive="1" name="Connection222" type="5" refreshedVersion="0" background="1">
    <dbPr connection="Provider=Microsoft.Mashup.OleDb.1;Data Source=$Workbook$;Location=&quot;391911629721_04&quot;;Extended Properties=&quot;&quot;" commandType="0"/>
  </connection>
  <connection id="381" xr16:uid="{F19C5949-864A-47F9-88F5-FD321CFCD1BC}" keepAlive="1" name="Connection223" type="5" refreshedVersion="0" background="1">
    <dbPr connection="Provider=Microsoft.Mashup.OleDb.1;Data Source=$Workbook$;Location=&quot;141048233520_04&quot;;Extended Properties=&quot;&quot;" commandType="0"/>
  </connection>
  <connection id="382" xr16:uid="{82AF1811-C2E3-4FDB-9C18-6744F012FED5}" keepAlive="1" name="Connection224" type="5" refreshedVersion="0" background="1">
    <dbPr connection="Provider=Microsoft.Mashup.OleDb.1;Data Source=$Workbook$;Location=&quot;150205916811_04&quot;;Extended Properties=&quot;&quot;" commandType="0"/>
  </connection>
  <connection id="383" xr16:uid="{0CD620F1-D14B-40D1-B3B1-15C35ECBF190}" keepAlive="1" name="Connection225" type="5" refreshedVersion="0" background="1">
    <dbPr connection="Provider=Microsoft.Mashup.OleDb.1;Data Source=$Workbook$;Location=&quot;173941132961_04&quot;;Extended Properties=&quot;&quot;" commandType="0"/>
  </connection>
  <connection id="384" xr16:uid="{288DA9BD-FB9D-4C61-8CE8-828032C70299}" keepAlive="1" name="Connection226" type="5" refreshedVersion="0" background="1">
    <dbPr connection="Provider=Microsoft.Mashup.OleDb.1;Data Source=$Workbook$;Location=&quot;391141824325_04&quot;;Extended Properties=&quot;&quot;" commandType="0"/>
  </connection>
  <connection id="385" xr16:uid="{2873D4F6-3F98-4978-A0A3-153E31EC7219}" keepAlive="1" name="Connection227" type="5" refreshedVersion="0" background="1">
    <dbPr connection="Provider=Microsoft.Mashup.OleDb.1;Data Source=$Workbook$;Location=&quot;391577099058_04&quot;;Extended Properties=&quot;&quot;" commandType="0"/>
  </connection>
  <connection id="386" xr16:uid="{FA30C42A-90D5-4ABE-B5A2-F878C0810DB6}" keepAlive="1" name="Connection228" type="5" refreshedVersion="0" background="1">
    <dbPr connection="Provider=Microsoft.Mashup.OleDb.1;Data Source=$Workbook$;Location=&quot;391658943171_04&quot;;Extended Properties=&quot;&quot;" commandType="0"/>
  </connection>
  <connection id="387" xr16:uid="{6DECB749-96CF-4654-91EE-5C2DC7D638BE}" keepAlive="1" name="Connection229" type="5" refreshedVersion="0" background="1">
    <dbPr connection="Provider=Microsoft.Mashup.OleDb.1;Data Source=$Workbook$;Location=&quot;061182082069678_04&quot;;Extended Properties=&quot;&quot;" commandType="0"/>
  </connection>
  <connection id="388" xr16:uid="{FBAD7CC4-EF96-406F-95B7-07146049B148}" keepAlive="1" name="Connection23" type="5" refreshedVersion="0" saveData="1">
    <dbPr connection="Provider=Microsoft.Mashup.OleDb.1;Data Source=$Workbook$;Location=&quot;123578321012_01&quot;;Extended Properties=&quot;&quot;" commandType="0"/>
  </connection>
  <connection id="389" xr16:uid="{F81B198F-FF96-4523-8764-410D20671496}" keepAlive="1" name="Connection230" type="5" refreshedVersion="0" saveData="1">
    <dbPr connection="Provider=Microsoft.Mashup.OleDb.1;Data Source=$Workbook$;Location=&quot;174222126762_01&quot;;Extended Properties=&quot;&quot;" commandType="0"/>
  </connection>
  <connection id="390" xr16:uid="{3D046933-3135-4046-8A86-6F482587DA3F}" keepAlive="1" name="Connection231" type="5" refreshedVersion="0" background="1">
    <dbPr connection="Provider=Microsoft.Mashup.OleDb.1;Data Source=$Workbook$;Location=&quot;174222126762_04&quot;;Extended Properties=&quot;&quot;" commandType="0"/>
  </connection>
  <connection id="391" xr16:uid="{49AB3CF8-8B88-45B1-AF81-920363F6CF12}" keepAlive="1" name="Connection232" type="5" refreshedVersion="0" background="1">
    <dbPr connection="Provider=Microsoft.Mashup.OleDb.1;Data Source=$Workbook$;Location=&quot;391589280850_01&quot;;Extended Properties=&quot;&quot;" commandType="0"/>
  </connection>
  <connection id="392" xr16:uid="{86D5935B-475E-4B4C-8391-1CB239E591C4}" keepAlive="1" name="Connection233" type="5" refreshedVersion="0" background="1">
    <dbPr connection="Provider=Microsoft.Mashup.OleDb.1;Data Source=$Workbook$;Location=&quot;977225710740517_01&quot;;Extended Properties=&quot;&quot;" commandType="0"/>
  </connection>
  <connection id="393" xr16:uid="{DE98E4A1-90B4-48E7-A82A-5EE192EBDF8D}" keepAlive="1" name="Connection234" type="5" refreshedVersion="0" background="1">
    <dbPr connection="Provider=Microsoft.Mashup.OleDb.1;Data Source=$Workbook$;Location=&quot;977225710740517_04&quot;;Extended Properties=&quot;&quot;" commandType="0"/>
  </connection>
  <connection id="394" xr16:uid="{D7F35EA6-3D04-4843-94BD-691075DF0206}" keepAlive="1" name="Connection235" type="5" refreshedVersion="0" background="1">
    <dbPr connection="Provider=Microsoft.Mashup.OleDb.1;Data Source=$Workbook$;Location=&quot;150440004225_01&quot;;Extended Properties=&quot;&quot;" commandType="0"/>
  </connection>
  <connection id="395" xr16:uid="{98F20C70-E7EA-4287-B0CF-19FCC649019E}" keepAlive="1" name="Connection236" type="5" refreshedVersion="0" background="1">
    <dbPr connection="Provider=Microsoft.Mashup.OleDb.1;Data Source=$Workbook$;Location=&quot;152013654441_01&quot;;Extended Properties=&quot;&quot;" commandType="0"/>
  </connection>
  <connection id="396" xr16:uid="{45E35595-1572-4896-B3D5-3965B5B222E5}" keepAlive="1" name="Connection237" type="5" refreshedVersion="0" background="1">
    <dbPr connection="Provider=Microsoft.Mashup.OleDb.1;Data Source=$Workbook$;Location=&quot;152013654441_04&quot;;Extended Properties=&quot;&quot;" commandType="0"/>
  </connection>
  <connection id="397" xr16:uid="{1C648561-EB83-4B69-8C84-6D3570513602}" keepAlive="1" name="Connection238" type="5" refreshedVersion="0" background="1">
    <dbPr connection="Provider=Microsoft.Mashup.OleDb.1;Data Source=$Workbook$;Location=&quot;169194721488_01&quot;;Extended Properties=&quot;&quot;" commandType="0"/>
  </connection>
  <connection id="398" xr16:uid="{F1264DE5-EBDF-4A21-8837-858B3CC38B76}" keepAlive="1" name="Connection239" type="5" refreshedVersion="0" background="1">
    <dbPr connection="Provider=Microsoft.Mashup.OleDb.1;Data Source=$Workbook$;Location=&quot;169194721488_04&quot;;Extended Properties=&quot;&quot;" commandType="0"/>
  </connection>
  <connection id="399" xr16:uid="{BAD4F5B0-73E8-42C6-A8F5-EE9503F127D2}" keepAlive="1" name="Connection24" type="5" refreshedVersion="0" saveData="1">
    <dbPr connection="Provider=Microsoft.Mashup.OleDb.1;Data Source=$Workbook$;Location=&quot;123578321012_01&quot;;Extended Properties=&quot;&quot;" commandType="0"/>
  </connection>
  <connection id="400" xr16:uid="{A99BFA4C-8649-46A9-8E09-99B485837267}" keepAlive="1" name="Connection240" type="5" refreshedVersion="0" background="1">
    <dbPr connection="Provider=Microsoft.Mashup.OleDb.1;Data Source=$Workbook$;Location=&quot;391570982199_01&quot;;Extended Properties=&quot;&quot;" commandType="0"/>
  </connection>
  <connection id="401" xr16:uid="{0176E5CC-0765-451E-81C1-E4C66EC82738}" keepAlive="1" name="Connection241" type="5" refreshedVersion="0" background="1">
    <dbPr connection="Provider=Microsoft.Mashup.OleDb.1;Data Source=$Workbook$;Location=&quot;391570982199_04&quot;;Extended Properties=&quot;&quot;" commandType="0"/>
  </connection>
  <connection id="402" xr16:uid="{2CA74D53-C51C-41D0-A792-C2062210EE65}" keepAlive="1" name="Connection242" type="5" refreshedVersion="0" background="1">
    <dbPr connection="Provider=Microsoft.Mashup.OleDb.1;Data Source=$Workbook$;Location=&quot;391743730030_01&quot;;Extended Properties=&quot;&quot;" commandType="0"/>
  </connection>
  <connection id="403" xr16:uid="{55343E80-BA06-49FC-B686-CB6235F833D9}" keepAlive="1" name="Connection243" type="5" refreshedVersion="0" background="1">
    <dbPr connection="Provider=Microsoft.Mashup.OleDb.1;Data Source=$Workbook$;Location=&quot;391860639691_01&quot;;Extended Properties=&quot;&quot;" commandType="0"/>
  </connection>
  <connection id="404" xr16:uid="{13AF294C-9EF8-4B60-9C55-E8F7F03FA9F0}" keepAlive="1" name="Connection244" type="5" refreshedVersion="0" background="1">
    <dbPr connection="Provider=Microsoft.Mashup.OleDb.1;Data Source=$Workbook$;Location=&quot;391860639691_04&quot;;Extended Properties=&quot;&quot;" commandType="0"/>
  </connection>
  <connection id="405" xr16:uid="{FA878B9F-AE79-4A5C-BFAA-90C2A62DB6A8}" keepAlive="1" name="Connection245" type="5" refreshedVersion="0" background="1">
    <dbPr connection="Provider=Microsoft.Mashup.OleDb.1;Data Source=$Workbook$;Location=&quot;666582873012_01&quot;;Extended Properties=&quot;&quot;" commandType="0"/>
  </connection>
  <connection id="406" xr16:uid="{377B8FFD-ACF2-4833-802F-B9123E5B71A7}" keepAlive="1" name="Connection246" type="5" refreshedVersion="0" background="1">
    <dbPr connection="Provider=Microsoft.Mashup.OleDb.1;Data Source=$Workbook$;Location=&quot;666582873012_04&quot;;Extended Properties=&quot;&quot;" commandType="0"/>
  </connection>
  <connection id="407" xr16:uid="{9AA2DDDA-7597-4AF2-94E1-438A26E7299F}" keepAlive="1" name="Connection247" type="5" refreshedVersion="0" background="1">
    <dbPr connection="Provider=Microsoft.Mashup.OleDb.1;Data Source=$Workbook$;Location=&quot;770172574014_01&quot;;Extended Properties=&quot;&quot;" commandType="0"/>
  </connection>
  <connection id="408" xr16:uid="{590E6572-F4B9-459E-8A23-1C9262731163}" keepAlive="1" name="Connection248" type="5" refreshedVersion="0" background="1">
    <dbPr connection="Provider=Microsoft.Mashup.OleDb.1;Data Source=$Workbook$;Location=&quot;770172574014_04&quot;;Extended Properties=&quot;&quot;" commandType="0"/>
  </connection>
  <connection id="409" xr16:uid="{C222C6A0-1503-44DD-8823-CA7748ABC69B}" keepAlive="1" name="Connection249" type="5" refreshedVersion="0" background="1">
    <dbPr connection="Provider=Microsoft.Mashup.OleDb.1;Data Source=$Workbook$;Location=&quot;770189525721_01&quot;;Extended Properties=&quot;&quot;" commandType="0"/>
  </connection>
  <connection id="410" xr16:uid="{22E14A14-E085-42A0-A928-85599D745F7F}" keepAlive="1" name="Connection25" type="5" refreshedVersion="0" saveData="1">
    <dbPr connection="Provider=Microsoft.Mashup.OleDb.1;Data Source=$Workbook$;Location=&quot;123578321012_01&quot;;Extended Properties=&quot;&quot;" commandType="0"/>
  </connection>
  <connection id="411" xr16:uid="{4E236179-5CE9-4D94-978B-1CB30C1D7EE2}" keepAlive="1" name="Connection250" type="5" refreshedVersion="0" background="1">
    <dbPr connection="Provider=Microsoft.Mashup.OleDb.1;Data Source=$Workbook$;Location=&quot;146140148351_01&quot;;Extended Properties=&quot;&quot;" commandType="0"/>
  </connection>
  <connection id="412" xr16:uid="{9598997F-01A7-4F84-B031-F5C1AA911101}" keepAlive="1" name="Connection251" type="5" refreshedVersion="0" background="1">
    <dbPr connection="Provider=Microsoft.Mashup.OleDb.1;Data Source=$Workbook$;Location=&quot;146140148351_04&quot;;Extended Properties=&quot;&quot;" commandType="0"/>
  </connection>
  <connection id="413" xr16:uid="{6FF5C573-8EC3-4115-99FB-CA7428DEB50B}" keepAlive="1" name="Connection252" type="5" refreshedVersion="0" background="1">
    <dbPr connection="Provider=Microsoft.Mashup.OleDb.1;Data Source=$Workbook$;Location=&quot;174008277193_01&quot;;Extended Properties=&quot;&quot;" commandType="0"/>
  </connection>
  <connection id="414" xr16:uid="{51B4704F-41C2-4B59-8DA7-2FE438AC07D5}" keepAlive="1" name="Connection253" type="5" refreshedVersion="0" background="1">
    <dbPr connection="Provider=Microsoft.Mashup.OleDb.1;Data Source=$Workbook$;Location=&quot;174008277193_04&quot;;Extended Properties=&quot;&quot;" commandType="0"/>
  </connection>
  <connection id="415" xr16:uid="{F821C758-57A7-4BF5-BEC0-F8B459282CA3}" keepAlive="1" name="Connection254" type="5" refreshedVersion="0" background="1">
    <dbPr connection="Provider=Microsoft.Mashup.OleDb.1;Data Source=$Workbook$;Location=&quot;174008277208_01&quot;;Extended Properties=&quot;&quot;" commandType="0"/>
  </connection>
  <connection id="416" xr16:uid="{CCD013AC-D708-4109-9D66-759062A4DCD1}" keepAlive="1" name="Connection255" type="5" refreshedVersion="0" background="1">
    <dbPr connection="Provider=Microsoft.Mashup.OleDb.1;Data Source=$Workbook$;Location=&quot;174008277208_04&quot;;Extended Properties=&quot;&quot;" commandType="0"/>
  </connection>
  <connection id="417" xr16:uid="{0FA3CE3A-6CCC-4636-98B1-B3C2B439E07E}" keepAlive="1" name="Connection256" type="5" refreshedVersion="0" background="1">
    <dbPr connection="Provider=Microsoft.Mashup.OleDb.1;Data Source=$Workbook$;Location=&quot;391768566977_01&quot;;Extended Properties=&quot;&quot;" commandType="0"/>
  </connection>
  <connection id="418" xr16:uid="{97F56D35-D563-454F-9DC4-8F757D4F0769}" keepAlive="1" name="Connection257" type="5" refreshedVersion="0" background="1">
    <dbPr connection="Provider=Microsoft.Mashup.OleDb.1;Data Source=$Workbook$;Location=&quot;391768566977_04&quot;;Extended Properties=&quot;&quot;" commandType="0"/>
  </connection>
  <connection id="419" xr16:uid="{EC1F2D8E-6916-4ECE-A494-B64EB9ACFCE6}" keepAlive="1" name="Connection258" type="5" refreshedVersion="0" background="1">
    <dbPr connection="Provider=Microsoft.Mashup.OleDb.1;Data Source=$Workbook$;Location=&quot;770211289557_01&quot;;Extended Properties=&quot;&quot;" commandType="0"/>
  </connection>
  <connection id="420" xr16:uid="{5841F3C1-6067-4665-B9A8-3A0067284620}" keepAlive="1" name="Connection259" type="5" refreshedVersion="0" background="1">
    <dbPr connection="Provider=Microsoft.Mashup.OleDb.1;Data Source=$Workbook$;Location=&quot;770252533596_01&quot;;Extended Properties=&quot;&quot;" commandType="0"/>
  </connection>
  <connection id="421" xr16:uid="{72739340-017E-4242-9841-2FB1D0DBE78C}" keepAlive="1" name="Connection26" type="5" refreshedVersion="0" saveData="1">
    <dbPr connection="Provider=Microsoft.Mashup.OleDb.1;Data Source=$Workbook$;Location=&quot;123578321012_01&quot;;Extended Properties=&quot;&quot;" commandType="0"/>
  </connection>
  <connection id="422" xr16:uid="{E578ABC9-7774-4D3A-B06E-89C4EE844973}" keepAlive="1" name="Connection260" type="5" refreshedVersion="0" background="1">
    <dbPr connection="Provider=Microsoft.Mashup.OleDb.1;Data Source=$Workbook$;Location=&quot;168937610134_01&quot;;Extended Properties=&quot;&quot;" commandType="0"/>
  </connection>
  <connection id="423" xr16:uid="{C40202DB-1D38-4E79-AC9F-29295E813C75}" keepAlive="1" name="Connection261" type="5" refreshedVersion="0" background="1">
    <dbPr connection="Provider=Microsoft.Mashup.OleDb.1;Data Source=$Workbook$;Location=&quot;168937610134_04&quot;;Extended Properties=&quot;&quot;" commandType="0"/>
  </connection>
  <connection id="424" xr16:uid="{5EF17832-9DD3-465F-A57C-6BCA0699FBA2}" keepAlive="1" name="Connection262" type="5" refreshedVersion="0" background="1">
    <dbPr connection="Provider=Microsoft.Mashup.OleDb.1;Data Source=$Workbook$;Location=&quot;171072733554_01&quot;;Extended Properties=&quot;&quot;" commandType="0"/>
  </connection>
  <connection id="425" xr16:uid="{CAE4834D-5B15-44BF-988C-F6AEE38CF3DB}" keepAlive="1" name="Connection263" type="5" refreshedVersion="0" background="1">
    <dbPr connection="Provider=Microsoft.Mashup.OleDb.1;Data Source=$Workbook$;Location=&quot;171072733554_04&quot;;Extended Properties=&quot;&quot;" commandType="0"/>
  </connection>
  <connection id="426" xr16:uid="{A1714A9B-9720-46FF-B600-B220685A393C}" keepAlive="1" name="Connection264" type="5" refreshedVersion="0" background="1">
    <dbPr connection="Provider=Microsoft.Mashup.OleDb.1;Data Source=$Workbook$;Location=&quot;390917884630_01&quot;;Extended Properties=&quot;&quot;" commandType="0"/>
  </connection>
  <connection id="427" xr16:uid="{838794CF-C1AF-4C60-B30C-86F9A2E337DF}" keepAlive="1" name="Connection265" type="5" refreshedVersion="0" background="1">
    <dbPr connection="Provider=Microsoft.Mashup.OleDb.1;Data Source=$Workbook$;Location=&quot;390917884630_04&quot;;Extended Properties=&quot;&quot;" commandType="0"/>
  </connection>
  <connection id="428" xr16:uid="{F43BD797-1F8C-4A0D-845E-F8845D1B0373}" keepAlive="1" name="Connection266" type="5" refreshedVersion="0" background="1">
    <dbPr connection="Provider=Microsoft.Mashup.OleDb.1;Data Source=$Workbook$;Location=&quot;391720008781_01&quot;;Extended Properties=&quot;&quot;" commandType="0"/>
  </connection>
  <connection id="429" xr16:uid="{582B82C3-5C0F-4947-95AD-841BF5823983}" keepAlive="1" name="Connection267" type="5" refreshedVersion="0" background="1">
    <dbPr connection="Provider=Microsoft.Mashup.OleDb.1;Data Source=$Workbook$;Location=&quot;391720008781_04&quot;;Extended Properties=&quot;&quot;" commandType="0"/>
  </connection>
  <connection id="430" xr16:uid="{59247211-AB7D-4993-A1D2-23C22E6487EE}" keepAlive="1" name="Connection268" type="5" refreshedVersion="0" background="1">
    <dbPr connection="Provider=Microsoft.Mashup.OleDb.1;Data Source=$Workbook$;Location=&quot;391971013560_01&quot;;Extended Properties=&quot;&quot;" commandType="0"/>
  </connection>
  <connection id="431" xr16:uid="{7157FA35-89AD-4051-8C86-7148C9D22784}" keepAlive="1" name="Connection269" type="5" refreshedVersion="0" background="1">
    <dbPr connection="Provider=Microsoft.Mashup.OleDb.1;Data Source=$Workbook$;Location=&quot;391971013560_04&quot;;Extended Properties=&quot;&quot;" commandType="0"/>
  </connection>
  <connection id="432" xr16:uid="{CE85651B-B0B8-4ED2-830F-8262CAFC84F4}" keepAlive="1" name="Connection27" type="5" refreshedVersion="0" saveData="1">
    <dbPr connection="Provider=Microsoft.Mashup.OleDb.1;Data Source=$Workbook$;Location=&quot;153263969644_01&quot;;Extended Properties=&quot;&quot;" commandType="0"/>
  </connection>
  <connection id="433" xr16:uid="{9F2E0665-B70B-42A0-8E00-33465C6E0EFA}" keepAlive="1" name="Connection270" type="5" refreshedVersion="0" background="1">
    <dbPr connection="Provider=Microsoft.Mashup.OleDb.1;Data Source=$Workbook$;Location=&quot;392105113647_01&quot;;Extended Properties=&quot;&quot;" commandType="0"/>
  </connection>
  <connection id="434" xr16:uid="{BCB64941-EA9C-4C96-993D-C6D818F04577}" keepAlive="1" name="Connection271" type="5" refreshedVersion="0" background="1">
    <dbPr connection="Provider=Microsoft.Mashup.OleDb.1;Data Source=$Workbook$;Location=&quot;392105113647_04&quot;;Extended Properties=&quot;&quot;" commandType="0"/>
  </connection>
  <connection id="435" xr16:uid="{85A508EB-E7D3-4AD1-BE10-D515BD24A004}" keepAlive="1" name="Connection272" type="5" refreshedVersion="0" saveData="1">
    <dbPr connection="Provider=Microsoft.Mashup.OleDb.1;Data Source=$Workbook$;Location=&quot;169089935477_01&quot;;Extended Properties=&quot;&quot;" commandType="0"/>
  </connection>
  <connection id="436" xr16:uid="{44894FF4-773A-452E-85CF-BE5FA5EF5DEA}" keepAlive="1" name="Connection273" type="5" refreshedVersion="0" background="1">
    <dbPr connection="Provider=Microsoft.Mashup.OleDb.1;Data Source=$Workbook$;Location=&quot;169089935477_04&quot;;Extended Properties=&quot;&quot;" commandType="0"/>
  </connection>
  <connection id="437" xr16:uid="{2AEB9AD6-B8F0-4FFF-ABC2-7187BBEFADC2}" keepAlive="1" name="Connection274" type="5" refreshedVersion="0" background="1">
    <dbPr connection="Provider=Microsoft.Mashup.OleDb.1;Data Source=$Workbook$;Location=&quot;175490736456_01&quot;;Extended Properties=&quot;&quot;" commandType="0"/>
  </connection>
  <connection id="438" xr16:uid="{4BB4012E-A671-4398-8E34-BFFEC1AC0CCE}" keepAlive="1" name="Connection275" type="5" refreshedVersion="0" background="1">
    <dbPr connection="Provider=Microsoft.Mashup.OleDb.1;Data Source=$Workbook$;Location=&quot;175490736456_04&quot;;Extended Properties=&quot;&quot;" commandType="0"/>
  </connection>
  <connection id="439" xr16:uid="{D5E06EFA-5A7F-45C5-AA51-FCF735391EF0}" keepAlive="1" name="Connection276" type="5" refreshedVersion="0" background="1">
    <dbPr connection="Provider=Microsoft.Mashup.OleDb.1;Data Source=$Workbook$;Location=&quot;391557390344_01&quot;;Extended Properties=&quot;&quot;" commandType="0"/>
  </connection>
  <connection id="440" xr16:uid="{70B92F34-773C-4925-8A8F-0474350D4D2F}" keepAlive="1" name="Connection277" type="5" refreshedVersion="0" background="1">
    <dbPr connection="Provider=Microsoft.Mashup.OleDb.1;Data Source=$Workbook$;Location=&quot;391557390344_04&quot;;Extended Properties=&quot;&quot;" commandType="0"/>
  </connection>
  <connection id="441" xr16:uid="{451AF163-573B-453D-B15E-C0B6A5607996}" keepAlive="1" name="Connection278" type="5" refreshedVersion="0" background="1">
    <dbPr connection="Provider=Microsoft.Mashup.OleDb.1;Data Source=$Workbook$;Location=&quot;391895995764_01&quot;;Extended Properties=&quot;&quot;" commandType="0"/>
  </connection>
  <connection id="442" xr16:uid="{0673B48B-57EB-4975-A0BD-5592FCE65286}" keepAlive="1" name="Connection279" type="5" refreshedVersion="0" background="1">
    <dbPr connection="Provider=Microsoft.Mashup.OleDb.1;Data Source=$Workbook$;Location=&quot;391895995764_04&quot;;Extended Properties=&quot;&quot;" commandType="0"/>
  </connection>
  <connection id="443" xr16:uid="{1A102386-BA3C-418A-8EEC-867983BBCA43}" keepAlive="1" name="Connection28" type="5" refreshedVersion="6" background="1" saveData="1">
    <dbPr connection="Provider=Microsoft.Mashup.OleDb.1;Data Source=$Workbook$;Location=Table 779079529260;Extended Properties=&quot;&quot;" command="SELECT * FROM [Table 779079529260]"/>
  </connection>
  <connection id="444" xr16:uid="{18391E52-D55F-4540-B419-BB8CAA7A7039}" keepAlive="1" name="Connection280" type="5" refreshedVersion="0" background="1">
    <dbPr connection="Provider=Microsoft.Mashup.OleDb.1;Data Source=$Workbook$;Location=&quot;392211954338_01&quot;;Extended Properties=&quot;&quot;" commandType="0"/>
  </connection>
  <connection id="445" xr16:uid="{3F1563CA-5655-4568-9CB1-5FB1E4C54A05}" keepAlive="1" name="Connection281" type="5" refreshedVersion="0" background="1">
    <dbPr connection="Provider=Microsoft.Mashup.OleDb.1;Data Source=$Workbook$;Location=&quot;392211954338_04&quot;;Extended Properties=&quot;&quot;" commandType="0"/>
  </connection>
  <connection id="446" xr16:uid="{0886F499-B709-43E9-9356-C916322AE542}" keepAlive="1" name="Connection282" type="5" refreshedVersion="0" background="1">
    <dbPr connection="Provider=Microsoft.Mashup.OleDb.1;Data Source=$Workbook$;Location=&quot;392426687432_01&quot;;Extended Properties=&quot;&quot;" commandType="0"/>
  </connection>
  <connection id="447" xr16:uid="{718D75C9-9B69-4220-B48E-5A8EA01C767C}" keepAlive="1" name="Connection283" type="5" refreshedVersion="0" background="1">
    <dbPr connection="Provider=Microsoft.Mashup.OleDb.1;Data Source=$Workbook$;Location=&quot;484637272859_01&quot;;Extended Properties=&quot;&quot;" commandType="0"/>
  </connection>
  <connection id="448" xr16:uid="{47FD1C6F-524F-42C4-9A24-06863BE747F8}" keepAlive="1" name="Connection284" type="5" refreshedVersion="0" background="1">
    <dbPr connection="Provider=Microsoft.Mashup.OleDb.1;Data Source=$Workbook$;Location=&quot;484637272859_04&quot;;Extended Properties=&quot;&quot;" commandType="0"/>
  </connection>
  <connection id="449" xr16:uid="{90058C08-C85F-4694-ABD9-E652EF8563B8}" keepAlive="1" name="Connection285" type="5" refreshedVersion="0" saveData="1">
    <dbPr connection="Provider=Microsoft.Mashup.OleDb.1;Data Source=$Workbook$;Location=&quot;120606384993_01&quot;;Extended Properties=&quot;&quot;" commandType="0"/>
  </connection>
  <connection id="450" xr16:uid="{E0167F7D-DE97-446C-8E0F-4AA5439A2D72}" keepAlive="1" name="Connection286" type="5" refreshedVersion="0" background="1">
    <dbPr connection="Provider=Microsoft.Mashup.OleDb.1;Data Source=$Workbook$;Location=&quot;120606384993_04&quot;;Extended Properties=&quot;&quot;" commandType="0"/>
  </connection>
  <connection id="451" xr16:uid="{F558AD76-4CB1-43E6-A950-2EDE583141A2}" keepAlive="1" name="Connection287" type="5" refreshedVersion="0" background="1">
    <dbPr connection="Provider=Microsoft.Mashup.OleDb.1;Data Source=$Workbook$;Location=&quot;135548143090_01&quot;;Extended Properties=&quot;&quot;" commandType="0"/>
  </connection>
  <connection id="452" xr16:uid="{1644637D-3D7E-4189-911E-54724DE0BCF6}" keepAlive="1" name="Connection288" type="5" refreshedVersion="0" background="1">
    <dbPr connection="Provider=Microsoft.Mashup.OleDb.1;Data Source=$Workbook$;Location=&quot;135548143090_04&quot;;Extended Properties=&quot;&quot;" commandType="0"/>
  </connection>
  <connection id="453" xr16:uid="{9ACF233A-BFEF-4B43-B75E-A7F8947F47BF}" keepAlive="1" name="Connection289" type="5" refreshedVersion="0" background="1">
    <dbPr connection="Provider=Microsoft.Mashup.OleDb.1;Data Source=$Workbook$;Location=&quot;182436377059_01&quot;;Extended Properties=&quot;&quot;" commandType="0"/>
  </connection>
  <connection id="454" xr16:uid="{CD246119-3FCB-4F5C-8A35-0D9FC962A19B}" keepAlive="1" name="Connection29" type="5" refreshedVersion="6" background="1" saveData="1">
    <dbPr connection="Provider=Microsoft.Mashup.OleDb.1;Data Source=$Workbook$;Location=Table 779787448444;Extended Properties=&quot;&quot;" command="SELECT * FROM [Table 779787448444]"/>
  </connection>
  <connection id="455" xr16:uid="{10BAC746-9FC6-4BDA-AA24-FFC7D04A3690}" keepAlive="1" name="Connection290" type="5" refreshedVersion="0" background="1">
    <dbPr connection="Provider=Microsoft.Mashup.OleDb.1;Data Source=$Workbook$;Location=&quot;182436377059_04&quot;;Extended Properties=&quot;&quot;" commandType="0"/>
  </connection>
  <connection id="456" xr16:uid="{664EF12B-0B30-4278-9DF2-AD9861A6CC7D}" keepAlive="1" name="Connection291" type="5" refreshedVersion="0" background="1">
    <dbPr connection="Provider=Microsoft.Mashup.OleDb.1;Data Source=$Workbook$;Location=&quot;392543127370_01&quot;;Extended Properties=&quot;&quot;" commandType="0"/>
  </connection>
  <connection id="457" xr16:uid="{BBF3693D-7A61-48A7-BADE-5B85DFE24506}" keepAlive="1" name="Connection292" type="5" refreshedVersion="0" background="1">
    <dbPr connection="Provider=Microsoft.Mashup.OleDb.1;Data Source=$Workbook$;Location=&quot;392681256291_01&quot;;Extended Properties=&quot;&quot;" commandType="0"/>
  </connection>
  <connection id="458" xr16:uid="{A035D966-2A98-42E1-9391-BD764F16D3AA}" keepAlive="1" name="Connection293" type="5" refreshedVersion="0" background="1">
    <dbPr connection="Provider=Microsoft.Mashup.OleDb.1;Data Source=$Workbook$;Location=&quot;392834750194_01&quot;;Extended Properties=&quot;&quot;" commandType="0"/>
  </connection>
  <connection id="459" xr16:uid="{31A9C701-2E21-4452-A8C1-14F7593D468E}" keepAlive="1" name="Connection294" type="5" refreshedVersion="0" background="1">
    <dbPr connection="Provider=Microsoft.Mashup.OleDb.1;Data Source=$Workbook$;Location=&quot;770109768928_01&quot;;Extended Properties=&quot;&quot;" commandType="0"/>
  </connection>
  <connection id="460" xr16:uid="{250F5643-E461-43D5-AF70-8F8850B66580}" keepAlive="1" name="Connection295" type="5" refreshedVersion="0" background="1">
    <dbPr connection="Provider=Microsoft.Mashup.OleDb.1;Data Source=$Workbook$;Location=&quot;770109768928_04&quot;;Extended Properties=&quot;&quot;" commandType="0"/>
  </connection>
  <connection id="461" xr16:uid="{C7D57686-E776-4F00-8223-AA054D245BEC}" keepAlive="1" name="Connection296" type="5" refreshedVersion="0" background="1">
    <dbPr connection="Provider=Microsoft.Mashup.OleDb.1;Data Source=$Workbook$;Location=&quot;770346913401_01&quot;;Extended Properties=&quot;&quot;" commandType="0"/>
  </connection>
  <connection id="462" xr16:uid="{D49CE9D7-EF9B-4C86-8C7C-ECC0F14399C1}" keepAlive="1" name="Connection297" type="5" refreshedVersion="0" background="1">
    <dbPr connection="Provider=Microsoft.Mashup.OleDb.1;Data Source=$Workbook$;Location=&quot;770346913401_04&quot;;Extended Properties=&quot;&quot;" commandType="0"/>
  </connection>
  <connection id="463" xr16:uid="{FE6E3B6C-F358-4912-9FB9-0DB9CE15EADC}" keepAlive="1" name="Connection298" type="5" refreshedVersion="0" background="1">
    <dbPr connection="Provider=Microsoft.Mashup.OleDb.1;Data Source=$Workbook$;Location=&quot;770346959160_01&quot;;Extended Properties=&quot;&quot;" commandType="0"/>
  </connection>
  <connection id="464" xr16:uid="{7ADAB5EB-A590-47CE-AE27-ECE31C28E184}" keepAlive="1" name="Connection299" type="5" refreshedVersion="0" background="1">
    <dbPr connection="Provider=Microsoft.Mashup.OleDb.1;Data Source=$Workbook$;Location=&quot;770346959160_04&quot;;Extended Properties=&quot;&quot;" commandType="0"/>
  </connection>
  <connection id="465" xr16:uid="{23D9D264-0E0C-4DC5-A388-32F3A3924562}" keepAlive="1" name="Connection3" type="5" refreshedVersion="0" saveData="1">
    <dbPr connection="Provider=Microsoft.Mashup.OleDb.1;Data Source=$Workbook$;Location=&quot;153263965844&quot;;Extended Properties=&quot;&quot;" commandType="0"/>
  </connection>
  <connection id="466" xr16:uid="{8C2F7834-33A3-4636-8843-E035421EE826}" keepAlive="1" name="Connection30" type="5" refreshedVersion="0" saveData="1">
    <dbPr connection="Provider=Microsoft.Mashup.OleDb.1;Data Source=$Workbook$;Location=&quot;777965672843_01&quot;;Extended Properties=&quot;&quot;" commandType="0"/>
  </connection>
  <connection id="467" xr16:uid="{3E591498-F226-4CF8-BCB2-D533AE6EEF5C}" keepAlive="1" name="Connection300" type="5" refreshedVersion="0" saveData="1">
    <dbPr connection="Provider=Microsoft.Mashup.OleDb.1;Data Source=$Workbook$;Location=&quot;017791584443047_04&quot;;Extended Properties=&quot;&quot;" commandType="0"/>
  </connection>
  <connection id="468" xr16:uid="{44183041-65D1-4A05-B070-BA953E2EA2A7}" keepAlive="1" name="Connection301" type="5" refreshedVersion="0" background="1">
    <dbPr connection="Provider=Microsoft.Mashup.OleDb.1;Data Source=$Workbook$;Location=&quot;177056746431_04&quot;;Extended Properties=&quot;&quot;" commandType="0"/>
  </connection>
  <connection id="469" xr16:uid="{FFE1A879-B4A0-4EF6-8F74-8FAA589A5423}" keepAlive="1" name="Connection302" type="5" refreshedVersion="0" background="1">
    <dbPr connection="Provider=Microsoft.Mashup.OleDb.1;Data Source=$Workbook$;Location=&quot;392714528090_04&quot;;Extended Properties=&quot;&quot;" commandType="0"/>
  </connection>
  <connection id="470" xr16:uid="{87B71AC7-C890-4CD5-8272-48483FBCC188}" keepAlive="1" name="Connection303" type="5" refreshedVersion="0" background="1">
    <dbPr connection="Provider=Microsoft.Mashup.OleDb.1;Data Source=$Workbook$;Location=&quot;135851292121_04&quot;;Extended Properties=&quot;&quot;" commandType="0"/>
  </connection>
  <connection id="471" xr16:uid="{0D1EC96C-B626-4475-9288-453976B94E3F}" keepAlive="1" name="Connection304" type="5" refreshedVersion="0" background="1">
    <dbPr connection="Provider=Microsoft.Mashup.OleDb.1;Data Source=$Workbook$;Location=&quot;173333025734_04&quot;;Extended Properties=&quot;&quot;" commandType="0"/>
  </connection>
  <connection id="472" xr16:uid="{021A5AF4-0AD7-4F76-AFF8-4A8D847B4B21}" keepAlive="1" name="Connection305" type="5" refreshedVersion="0" saveData="1">
    <dbPr connection="Provider=Microsoft.Mashup.OleDb.1;Data Source=$Workbook$;Location=&quot;182950199147_01&quot;;Extended Properties=&quot;&quot;" commandType="0"/>
  </connection>
  <connection id="473" xr16:uid="{7E06936B-F9CE-4437-BEA1-49A4A99D8557}" keepAlive="1" name="Connection306" type="5" refreshedVersion="0" background="1">
    <dbPr connection="Provider=Microsoft.Mashup.OleDb.1;Data Source=$Workbook$;Location=&quot;182950199147_04&quot;;Extended Properties=&quot;&quot;" commandType="0"/>
  </connection>
  <connection id="474" xr16:uid="{1002D572-8C0B-46C2-9195-C5DC2241B510}" keepAlive="1" name="Connection307" type="5" refreshedVersion="0" background="1">
    <dbPr connection="Provider=Microsoft.Mashup.OleDb.1;Data Source=$Workbook$;Location=&quot;391549224170_01&quot;;Extended Properties=&quot;&quot;" commandType="0"/>
  </connection>
  <connection id="475" xr16:uid="{BC714805-A770-4306-A1AB-0088DF5AFC38}" keepAlive="1" name="Connection308" type="5" refreshedVersion="0" background="1">
    <dbPr connection="Provider=Microsoft.Mashup.OleDb.1;Data Source=$Workbook$;Location=&quot;391549224170_04&quot;;Extended Properties=&quot;&quot;" commandType="0"/>
  </connection>
  <connection id="476" xr16:uid="{4387026D-9D2E-4F25-A651-431A82A6D8A3}" keepAlive="1" name="Connection309" type="5" refreshedVersion="0" background="1">
    <dbPr connection="Provider=Microsoft.Mashup.OleDb.1;Data Source=$Workbook$;Location=&quot;392149704317_01&quot;;Extended Properties=&quot;&quot;" commandType="0"/>
  </connection>
  <connection id="477" xr16:uid="{1F24EA82-712F-4184-9940-9FBD9F16A9C6}" keepAlive="1" name="Connection31" type="5" refreshedVersion="0" saveData="1">
    <dbPr connection="Provider=Microsoft.Mashup.OleDb.1;Data Source=$Workbook$;Location=&quot;391309290024_01&quot;;Extended Properties=&quot;&quot;" commandType="0"/>
  </connection>
  <connection id="478" xr16:uid="{E20143A2-0051-4BA3-ABDC-6E9A32CEA092}" keepAlive="1" name="Connection310" type="5" refreshedVersion="0" background="1">
    <dbPr connection="Provider=Microsoft.Mashup.OleDb.1;Data Source=$Workbook$;Location=&quot;392149704317_04&quot;;Extended Properties=&quot;&quot;" commandType="0"/>
  </connection>
  <connection id="479" xr16:uid="{6881D1A1-9692-45D2-ABE4-4A3B4A63327F}" keepAlive="1" name="Connection311" type="5" refreshedVersion="0" background="1">
    <dbPr connection="Provider=Microsoft.Mashup.OleDb.1;Data Source=$Workbook$;Location=&quot;392982005922_01&quot;;Extended Properties=&quot;&quot;" commandType="0"/>
  </connection>
  <connection id="480" xr16:uid="{878B5679-B6CE-44F0-B062-1DE934828261}" keepAlive="1" name="Connection312" type="5" refreshedVersion="0" background="1">
    <dbPr connection="Provider=Microsoft.Mashup.OleDb.1;Data Source=$Workbook$;Location=&quot;392982005922_04&quot;;Extended Properties=&quot;&quot;" commandType="0"/>
  </connection>
  <connection id="481" xr16:uid="{4A44AD92-A8F9-4381-9D3C-A07A40B6DAB6}" keepAlive="1" name="Connection313" type="5" refreshedVersion="0" background="1">
    <dbPr connection="Provider=Microsoft.Mashup.OleDb.1;Data Source=$Workbook$;Location=&quot;770465620399_01&quot;;Extended Properties=&quot;&quot;" commandType="0"/>
  </connection>
  <connection id="482" xr16:uid="{7EA6D646-E89D-4F06-AB1D-CD764250ABD7}" keepAlive="1" name="Connection314" type="5" refreshedVersion="0" background="1">
    <dbPr connection="Provider=Microsoft.Mashup.OleDb.1;Data Source=$Workbook$;Location=&quot;770465620399_04&quot;;Extended Properties=&quot;&quot;" commandType="0"/>
  </connection>
  <connection id="483" xr16:uid="{D036B0D1-1CBF-4838-959C-866F65C4F997}" keepAlive="1" name="Connection315" type="5" refreshedVersion="0" background="1">
    <dbPr connection="Provider=Microsoft.Mashup.OleDb.1;Data Source=$Workbook$;Location=&quot;770533189660_01&quot;;Extended Properties=&quot;&quot;" commandType="0"/>
  </connection>
  <connection id="484" xr16:uid="{66CBC78E-7D6A-4ADB-979C-6C1254CD03EE}" keepAlive="1" name="Connection316" type="5" refreshedVersion="0" saveData="1">
    <dbPr connection="Provider=Microsoft.Mashup.OleDb.1;Data Source=$Workbook$;Location=&quot;770467215174_04&quot;;Extended Properties=&quot;&quot;" commandType="0"/>
  </connection>
  <connection id="485" xr16:uid="{5116A3D9-B106-47DA-8077-892E6DEC3052}" keepAlive="1" name="Connection317" type="5" refreshedVersion="0" background="1">
    <dbPr connection="Provider=Microsoft.Mashup.OleDb.1;Data Source=$Workbook$;Location=&quot;391935904300_04&quot;;Extended Properties=&quot;&quot;" commandType="0"/>
  </connection>
  <connection id="486" xr16:uid="{B6734AC8-0192-4A60-B7FC-AE879759F4FE}" keepAlive="1" name="Connection318" type="5" refreshedVersion="0" saveData="1">
    <dbPr connection="Provider=Microsoft.Mashup.OleDb.1;Data Source=$Workbook$;Location=&quot;182189272645_04&quot;;Extended Properties=&quot;&quot;" commandType="0"/>
  </connection>
  <connection id="487" xr16:uid="{A45CDEC8-A82C-465E-AC60-D5178F61D025}" keepAlive="1" name="Connection319" type="5" refreshedVersion="0" background="1">
    <dbPr connection="Provider=Microsoft.Mashup.OleDb.1;Data Source=$Workbook$;Location=&quot;182189272667_04&quot;;Extended Properties=&quot;&quot;" commandType="0"/>
  </connection>
  <connection id="488" xr16:uid="{2C32CE26-4484-4CA5-A2CA-4642DEB14B1F}" keepAlive="1" name="Connection32" type="5" refreshedVersion="0" background="1">
    <dbPr connection="Provider=Microsoft.Mashup.OleDb.1;Data Source=$Workbook$;Location=&quot;391309290024_04&quot;;Extended Properties=&quot;&quot;" commandType="0"/>
  </connection>
  <connection id="489" xr16:uid="{202FE55A-30EC-47B2-B9B6-2C63E135BE76}" keepAlive="1" name="Connection320" type="5" refreshedVersion="0" background="1">
    <dbPr connection="Provider=Microsoft.Mashup.OleDb.1;Data Source=$Workbook$;Location=&quot;182189272678_04&quot;;Extended Properties=&quot;&quot;" commandType="0"/>
  </connection>
  <connection id="490" xr16:uid="{999AD229-257D-4228-AFA5-B8ADEF7B2023}" keepAlive="1" name="Connection321" type="5" refreshedVersion="0" background="1">
    <dbPr connection="Provider=Microsoft.Mashup.OleDb.1;Data Source=$Workbook$;Location=&quot;392032089363_04&quot;;Extended Properties=&quot;&quot;" commandType="0"/>
  </connection>
  <connection id="491" xr16:uid="{C78766D3-CFE5-4A76-A346-02DC82D61866}" keepAlive="1" name="Connection322" type="5" refreshedVersion="0" background="1">
    <dbPr connection="Provider=Microsoft.Mashup.OleDb.1;Data Source=$Workbook$;Location=&quot;392794148867_04&quot;;Extended Properties=&quot;&quot;" commandType="0"/>
  </connection>
  <connection id="492" xr16:uid="{92180309-6A59-4789-A512-EABAEBBBBBF9}" keepAlive="1" name="Connection323" type="5" refreshedVersion="0" background="1">
    <dbPr connection="Provider=Microsoft.Mashup.OleDb.1;Data Source=$Workbook$;Location=&quot;392827189553_04&quot;;Extended Properties=&quot;&quot;" commandType="0"/>
  </connection>
  <connection id="493" xr16:uid="{67BA53C4-C0D1-4823-96B9-A6915BB785D2}" keepAlive="1" name="Connection324" type="5" refreshedVersion="0" background="1">
    <dbPr connection="Provider=Microsoft.Mashup.OleDb.1;Data Source=$Workbook$;Location=&quot;178515414380_04&quot;;Extended Properties=&quot;&quot;" commandType="0"/>
  </connection>
  <connection id="494" xr16:uid="{D9FDBD9B-75C9-489F-A25C-283CA29E3D1C}" keepAlive="1" name="Connection325" type="5" refreshedVersion="0" background="1">
    <dbPr connection="Provider=Microsoft.Mashup.OleDb.1;Data Source=$Workbook$;Location=&quot;180947114712_04&quot;;Extended Properties=&quot;&quot;" commandType="0"/>
  </connection>
  <connection id="495" xr16:uid="{A48B4340-7B92-463F-8D18-719B52C1D425}" keepAlive="1" name="Connection326" type="5" refreshedVersion="0" background="1">
    <dbPr connection="Provider=Microsoft.Mashup.OleDb.1;Data Source=$Workbook$;Location=&quot;278616910992114_04&quot;;Extended Properties=&quot;&quot;" commandType="0"/>
  </connection>
  <connection id="496" xr16:uid="{C53D393B-648B-4F74-AF38-5A60545EE8C8}" keepAlive="1" name="Connection327" type="5" refreshedVersion="0" background="1">
    <dbPr connection="Provider=Microsoft.Mashup.OleDb.1;Data Source=$Workbook$;Location=&quot;392032091180_04&quot;;Extended Properties=&quot;&quot;" commandType="0"/>
  </connection>
  <connection id="497" xr16:uid="{6D1A353F-9727-4E77-A355-7794BC3C8BA0}" keepAlive="1" name="Connection328" type="5" refreshedVersion="0" background="1">
    <dbPr connection="Provider=Microsoft.Mashup.OleDb.1;Data Source=$Workbook$;Location=&quot;392801810353_04&quot;;Extended Properties=&quot;&quot;" commandType="0"/>
  </connection>
  <connection id="498" xr16:uid="{D1D6E079-E6D1-4604-8CD1-354F83DBCE34}" keepAlive="1" name="Connection329" type="5" refreshedVersion="0" background="1">
    <dbPr connection="Provider=Microsoft.Mashup.OleDb.1;Data Source=$Workbook$;Location=&quot;507867675103843_04&quot;;Extended Properties=&quot;&quot;" commandType="0"/>
  </connection>
  <connection id="499" xr16:uid="{EEC0FE9A-E43D-4C78-99C6-BD00BD878438}" keepAlive="1" name="Connection33" type="5" refreshedVersion="0" background="1">
    <dbPr connection="Provider=Microsoft.Mashup.OleDb.1;Data Source=$Workbook$;Location=&quot;391309290024_01&quot;;Extended Properties=&quot;&quot;" commandType="0"/>
  </connection>
  <connection id="500" xr16:uid="{B79E45D5-958B-4510-88A1-DDBBE71EE662}" keepAlive="1" name="Connection330" type="5" refreshedVersion="0" background="1">
    <dbPr connection="Provider=Microsoft.Mashup.OleDb.1;Data Source=$Workbook$;Location=&quot;392664737367_04&quot;;Extended Properties=&quot;&quot;" commandType="0"/>
  </connection>
  <connection id="501" xr16:uid="{D76ED7E6-CE80-466B-B12A-CE97FFA27496}" keepAlive="1" name="Connection331" type="5" refreshedVersion="0" background="1">
    <dbPr connection="Provider=Microsoft.Mashup.OleDb.1;Data Source=$Workbook$;Location=&quot;107243399032_04&quot;;Extended Properties=&quot;&quot;" commandType="0"/>
  </connection>
  <connection id="502" xr16:uid="{14AD8558-379B-407B-A744-D7BC880B2E11}" keepAlive="1" name="Connection332" type="5" refreshedVersion="0" background="1">
    <dbPr connection="Provider=Microsoft.Mashup.OleDb.1;Data Source=$Workbook$;Location=&quot;166116782383_04&quot;;Extended Properties=&quot;&quot;" commandType="0"/>
  </connection>
  <connection id="503" xr16:uid="{0FF3527F-B817-4753-B3FC-A4D41F85F2F7}" keepAlive="1" name="Connection333" type="5" refreshedVersion="0" background="1">
    <dbPr connection="Provider=Microsoft.Mashup.OleDb.1;Data Source=$Workbook$;Location=&quot;166116782394_04&quot;;Extended Properties=&quot;&quot;" commandType="0"/>
  </connection>
  <connection id="504" xr16:uid="{143A6B0A-C5F7-4129-B471-324FE56EEE1F}" keepAlive="1" name="Connection334" type="5" refreshedVersion="0" background="1">
    <dbPr connection="Provider=Microsoft.Mashup.OleDb.1;Data Source=$Workbook$;Location=&quot;170527099152_04&quot;;Extended Properties=&quot;&quot;" commandType="0"/>
  </connection>
  <connection id="505" xr16:uid="{45CAE65E-35E1-41D8-9EA4-C79BEB2A6DAE}" keepAlive="1" name="Connection335" type="5" refreshedVersion="0" background="1">
    <dbPr connection="Provider=Microsoft.Mashup.OleDb.1;Data Source=$Workbook$;Location=&quot;392148042323_04&quot;;Extended Properties=&quot;&quot;" commandType="0"/>
  </connection>
  <connection id="506" xr16:uid="{F917AEA9-420F-40D9-AD35-F09B12E233ED}" keepAlive="1" name="Connection336" type="5" refreshedVersion="0" background="1">
    <dbPr connection="Provider=Microsoft.Mashup.OleDb.1;Data Source=$Workbook$;Location=&quot;456823089300_04&quot;;Extended Properties=&quot;&quot;" commandType="0"/>
  </connection>
  <connection id="507" xr16:uid="{E78F5995-C0B0-4235-A1A0-AFA5A489F894}" keepAlive="1" name="Connection337" type="5" refreshedVersion="0" background="1">
    <dbPr connection="Provider=Microsoft.Mashup.OleDb.1;Data Source=$Workbook$;Location=&quot;119467406090_04&quot;;Extended Properties=&quot;&quot;" commandType="0"/>
  </connection>
  <connection id="508" xr16:uid="{79475822-2D36-40E6-9ADE-769E62A463A0}" keepAlive="1" name="Connection338" type="5" refreshedVersion="0" background="1">
    <dbPr connection="Provider=Microsoft.Mashup.OleDb.1;Data Source=$Workbook$;Location=&quot;981345817492829_04&quot;;Extended Properties=&quot;&quot;" commandType="0"/>
  </connection>
  <connection id="509" xr16:uid="{4D608FB0-ADF4-4113-A1DC-7BB866DDB359}" keepAlive="1" name="Connection339" type="5" refreshedVersion="0" background="1">
    <dbPr connection="Provider=Microsoft.Mashup.OleDb.1;Data Source=$Workbook$;Location=&quot;175421285612_04&quot;;Extended Properties=&quot;&quot;" commandType="0"/>
  </connection>
  <connection id="510" xr16:uid="{036ED90E-8BC4-45BC-A045-B14902382395}" keepAlive="1" name="Connection34" type="5" refreshedVersion="0" background="1">
    <dbPr connection="Provider=Microsoft.Mashup.OleDb.1;Data Source=$Workbook$;Location=&quot;391309290024_04&quot;;Extended Properties=&quot;&quot;" commandType="0"/>
  </connection>
  <connection id="511" xr16:uid="{75FC57E4-61BA-40F7-AECC-056AB9604061}" keepAlive="1" name="Connection340" type="5" refreshedVersion="0" background="1">
    <dbPr connection="Provider=Microsoft.Mashup.OleDb.1;Data Source=$Workbook$;Location=&quot;391689016150_04&quot;;Extended Properties=&quot;&quot;" commandType="0"/>
  </connection>
  <connection id="512" xr16:uid="{A58BF302-46C9-4186-A298-37F7C09F5750}" keepAlive="1" name="Connection341" type="5" refreshedVersion="0" background="1">
    <dbPr connection="Provider=Microsoft.Mashup.OleDb.1;Data Source=$Workbook$;Location=&quot;981346116455393_04&quot;;Extended Properties=&quot;&quot;" commandType="0"/>
  </connection>
  <connection id="513" xr16:uid="{3314AC89-7120-4166-B306-412E117B04AE}" keepAlive="1" name="Connection342" type="5" refreshedVersion="0" background="1">
    <dbPr connection="Provider=Microsoft.Mashup.OleDb.1;Data Source=$Workbook$;Location=&quot;391265061545_04&quot;;Extended Properties=&quot;&quot;" commandType="0"/>
  </connection>
  <connection id="514" xr16:uid="{99EBC8B0-7B9C-41D6-9F5C-BC83A3E372B7}" keepAlive="1" name="Connection343" type="5" refreshedVersion="0" background="1">
    <dbPr connection="Provider=Microsoft.Mashup.OleDb.1;Data Source=$Workbook$;Location=&quot;391148259155_04&quot;;Extended Properties=&quot;&quot;" commandType="0"/>
  </connection>
  <connection id="515" xr16:uid="{DC049898-0356-4B97-8412-B4697DDB9D53}" keepAlive="1" name="Connection344" type="5" refreshedVersion="0" background="1">
    <dbPr connection="Provider=Microsoft.Mashup.OleDb.1;Data Source=$Workbook$;Location=&quot;153131585295_04&quot;;Extended Properties=&quot;&quot;" commandType="0"/>
  </connection>
  <connection id="516" xr16:uid="{01B5BB91-3292-4B0F-AA9A-C8241C08DDF2}" keepAlive="1" name="Connection345" type="5" refreshedVersion="0" background="1">
    <dbPr connection="Provider=Microsoft.Mashup.OleDb.1;Data Source=$Workbook$;Location=&quot;391364983312_04&quot;;Extended Properties=&quot;&quot;" commandType="0"/>
  </connection>
  <connection id="517" xr16:uid="{BC4EB687-7987-4EDB-A826-9BE8423CAA7D}" keepAlive="1" name="Connection346" type="5" refreshedVersion="0" background="1">
    <dbPr connection="Provider=Microsoft.Mashup.OleDb.1;Data Source=$Workbook$;Location=&quot;391479021440_04&quot;;Extended Properties=&quot;&quot;" commandType="0"/>
  </connection>
  <connection id="518" xr16:uid="{067156B9-B10B-41C1-962E-91AAC30A971C}" keepAlive="1" name="Connection347" type="5" refreshedVersion="0" background="1">
    <dbPr connection="Provider=Microsoft.Mashup.OleDb.1;Data Source=$Workbook$;Location=&quot;391923059824_04&quot;;Extended Properties=&quot;&quot;" commandType="0"/>
  </connection>
  <connection id="519" xr16:uid="{AA8CFC46-A8B7-4B02-861F-5FEDD55F25A0}" keepAlive="1" name="Connection348" type="5" refreshedVersion="0" background="1">
    <dbPr connection="Provider=Microsoft.Mashup.OleDb.1;Data Source=$Workbook$;Location=&quot;770231526460_04&quot;;Extended Properties=&quot;&quot;" commandType="0"/>
  </connection>
  <connection id="520" xr16:uid="{7DC57059-A555-432D-8FD6-27F1940D85BF}" keepAlive="1" name="Connection349" type="5" refreshedVersion="0" background="1">
    <dbPr connection="Provider=Microsoft.Mashup.OleDb.1;Data Source=$Workbook$;Location=&quot;893143915553017_04&quot;;Extended Properties=&quot;&quot;" commandType="0"/>
  </connection>
  <connection id="521" xr16:uid="{C5775BF5-B55A-428D-A232-99499CDC7D50}" keepAlive="1" name="Connection35" type="5" refreshedVersion="0" saveData="1">
    <dbPr connection="Provider=Microsoft.Mashup.OleDb.1;Data Source=$Workbook$;Location=&quot;391309290024_01&quot;;Extended Properties=&quot;&quot;" commandType="0"/>
  </connection>
  <connection id="522" xr16:uid="{D92722B1-0CD7-4A98-94D3-AC54D18D6FE7}" keepAlive="1" name="Connection350" type="5" refreshedVersion="0" background="1">
    <dbPr connection="Provider=Microsoft.Mashup.OleDb.1;Data Source=$Workbook$;Location=&quot;390733596843_04&quot;;Extended Properties=&quot;&quot;" commandType="0"/>
  </connection>
  <connection id="523" xr16:uid="{A7D07507-7360-41CE-9FA9-2241DC0E3C73}" keepAlive="1" name="Connection351" type="5" refreshedVersion="0" background="1">
    <dbPr connection="Provider=Microsoft.Mashup.OleDb.1;Data Source=$Workbook$;Location=&quot;168597889458_04&quot;;Extended Properties=&quot;&quot;" commandType="0"/>
  </connection>
  <connection id="524" xr16:uid="{A6D923A4-DF57-482D-BDCD-A9FC05C7B91F}" keepAlive="1" name="Connection352" type="5" refreshedVersion="0" background="1">
    <dbPr connection="Provider=Microsoft.Mashup.OleDb.1;Data Source=$Workbook$;Location=&quot;391841706399_04&quot;;Extended Properties=&quot;&quot;" commandType="0"/>
  </connection>
  <connection id="525" xr16:uid="{19E4A734-AA82-4065-A797-E2FBC514D992}" keepAlive="1" name="Connection353" type="5" refreshedVersion="0" background="1">
    <dbPr connection="Provider=Microsoft.Mashup.OleDb.1;Data Source=$Workbook$;Location=&quot;391505282953_04&quot;;Extended Properties=&quot;&quot;" commandType="0"/>
  </connection>
  <connection id="526" xr16:uid="{1AAB35C9-3013-46D3-A417-00DBABBEFF1B}" keepAlive="1" name="Connection354" type="5" refreshedVersion="0" background="1">
    <dbPr connection="Provider=Microsoft.Mashup.OleDb.1;Data Source=$Workbook$;Location=&quot;391353797500_04&quot;;Extended Properties=&quot;&quot;" commandType="0"/>
  </connection>
  <connection id="527" xr16:uid="{2A9229C4-02BA-4A89-8DA3-E2F3C112E81E}" keepAlive="1" name="Connection355" type="5" refreshedVersion="0" background="1">
    <dbPr connection="Provider=Microsoft.Mashup.OleDb.1;Data Source=$Workbook$;Location=&quot;157703265551_04&quot;;Extended Properties=&quot;&quot;" commandType="0"/>
  </connection>
  <connection id="528" xr16:uid="{CF6DFF69-78AC-4A82-95E9-678BEACBCD27}" keepAlive="1" name="Connection356" type="5" refreshedVersion="0" background="1">
    <dbPr connection="Provider=Microsoft.Mashup.OleDb.1;Data Source=$Workbook$;Location=&quot;160501770716746_04&quot;;Extended Properties=&quot;&quot;" commandType="0"/>
  </connection>
  <connection id="529" xr16:uid="{4238519C-4177-4E2A-B2C8-A83864F68824}" keepAlive="1" name="Connection357" type="5" refreshedVersion="0" background="1">
    <dbPr connection="Provider=Microsoft.Mashup.OleDb.1;Data Source=$Workbook$;Location=&quot;456152216999755_04&quot;;Extended Properties=&quot;&quot;" commandType="0"/>
  </connection>
  <connection id="530" xr16:uid="{87C5BA11-C826-47C2-BC59-6711B23B6920}" keepAlive="1" name="Connection358" type="5" refreshedVersion="0" background="1">
    <dbPr connection="Provider=Microsoft.Mashup.OleDb.1;Data Source=$Workbook$;Location=&quot;073210671801172_04&quot;;Extended Properties=&quot;&quot;" commandType="0"/>
  </connection>
  <connection id="531" xr16:uid="{FFB0BD74-B104-40AF-9DE7-484756C6BAD4}" keepAlive="1" name="Connection359" type="5" refreshedVersion="0" background="1">
    <dbPr connection="Provider=Microsoft.Mashup.OleDb.1;Data Source=$Workbook$;Location=&quot;108315019220_04&quot;;Extended Properties=&quot;&quot;" commandType="0"/>
  </connection>
  <connection id="532" xr16:uid="{DF5CD3D9-9A89-4980-8A7D-99E8B83CF2C2}" keepAlive="1" name="Connection36" type="5" refreshedVersion="0" background="1">
    <dbPr connection="Provider=Microsoft.Mashup.OleDb.1;Data Source=$Workbook$;Location=&quot;391309290024_04&quot;;Extended Properties=&quot;&quot;" commandType="0"/>
  </connection>
  <connection id="533" xr16:uid="{A998E409-A69B-427E-8393-AF5D33E897DD}" keepAlive="1" name="Connection360" type="5" refreshedVersion="0" background="1">
    <dbPr connection="Provider=Microsoft.Mashup.OleDb.1;Data Source=$Workbook$;Location=&quot;923767370462686_04&quot;;Extended Properties=&quot;&quot;" commandType="0"/>
  </connection>
  <connection id="534" xr16:uid="{C1EDFD16-37F8-42DB-A406-26072DBED0E1}" keepAlive="1" name="Connection361" type="5" refreshedVersion="0" background="1">
    <dbPr connection="Provider=Microsoft.Mashup.OleDb.1;Data Source=$Workbook$;Location=&quot;981345817239714_04&quot;;Extended Properties=&quot;&quot;" commandType="0"/>
  </connection>
  <connection id="535" xr16:uid="{DD9B9FF2-DBAC-4C8E-9A8F-CB9D52A68438}" keepAlive="1" name="Connection362" type="5" refreshedVersion="0" background="1">
    <dbPr connection="Provider=Microsoft.Mashup.OleDb.1;Data Source=$Workbook$;Location=&quot;391221445621_04&quot;;Extended Properties=&quot;&quot;" commandType="0"/>
  </connection>
  <connection id="536" xr16:uid="{8BBB681D-34B3-40B7-AC65-5FB3A37203AF}" keepAlive="1" name="Connection363" type="5" refreshedVersion="0" background="1">
    <dbPr connection="Provider=Microsoft.Mashup.OleDb.1;Data Source=$Workbook$;Location=&quot;391359556157_04&quot;;Extended Properties=&quot;&quot;" commandType="0"/>
  </connection>
  <connection id="537" xr16:uid="{CBCF66E2-ECF6-4BB3-B54C-01D2FA9558E9}" keepAlive="1" name="Connection364" type="5" refreshedVersion="0" background="1">
    <dbPr connection="Provider=Microsoft.Mashup.OleDb.1;Data Source=$Workbook$;Location=&quot;108307265709_04&quot;;Extended Properties=&quot;&quot;" commandType="0"/>
  </connection>
  <connection id="538" xr16:uid="{84A916BB-C2B9-42D8-8DF6-7AAD8F36EE4C}" keepAlive="1" name="Connection365" type="5" refreshedVersion="0" background="1">
    <dbPr connection="Provider=Microsoft.Mashup.OleDb.1;Data Source=$Workbook$;Location=&quot;391106214988_04&quot;;Extended Properties=&quot;&quot;" commandType="0"/>
  </connection>
  <connection id="539" xr16:uid="{A3DECC09-66A6-4706-A05F-A0D87676CC0C}" keepAlive="1" name="Connection366" type="5" refreshedVersion="0" background="1">
    <dbPr connection="Provider=Microsoft.Mashup.OleDb.1;Data Source=$Workbook$;Location=&quot;391144752799_04&quot;;Extended Properties=&quot;&quot;" commandType="0"/>
  </connection>
  <connection id="540" xr16:uid="{A76E7A5A-00A7-4F52-B898-9577E27ED4D8}" keepAlive="1" name="Connection367" type="5" refreshedVersion="0" background="1">
    <dbPr connection="Provider=Microsoft.Mashup.OleDb.1;Data Source=$Workbook$;Location=&quot;391235957121_04&quot;;Extended Properties=&quot;&quot;" commandType="0"/>
  </connection>
  <connection id="541" xr16:uid="{A87095CD-BB0C-4348-BC39-81095AA609C4}" keepAlive="1" name="Connection368" type="5" refreshedVersion="0" background="1">
    <dbPr connection="Provider=Microsoft.Mashup.OleDb.1;Data Source=$Workbook$;Location=&quot;137662583760_04&quot;;Extended Properties=&quot;&quot;" commandType="0"/>
  </connection>
  <connection id="542" xr16:uid="{B215B99C-9AB4-4DEB-AE1F-72E225CBEC66}" keepAlive="1" name="Connection369" type="5" refreshedVersion="0" background="1">
    <dbPr connection="Provider=Microsoft.Mashup.OleDb.1;Data Source=$Workbook$;Location=&quot;137662610399_04&quot;;Extended Properties=&quot;&quot;" commandType="0"/>
  </connection>
  <connection id="543" xr16:uid="{C1721C47-0A64-4032-8788-D240D2281961}" keepAlive="1" name="Connection37" type="5" refreshedVersion="0" saveData="1">
    <dbPr connection="Provider=Microsoft.Mashup.OleDb.1;Data Source=$Workbook$;Location=&quot;391309290024_01&quot;;Extended Properties=&quot;&quot;" commandType="0"/>
  </connection>
  <connection id="544" xr16:uid="{CC6AEE81-6EAC-4842-B420-945B95915563}" keepAlive="1" name="Connection370" type="5" refreshedVersion="0" background="1">
    <dbPr connection="Provider=Microsoft.Mashup.OleDb.1;Data Source=$Workbook$;Location=&quot;137662683372_04&quot;;Extended Properties=&quot;&quot;" commandType="0"/>
  </connection>
  <connection id="545" xr16:uid="{EC4CE89B-07EB-447C-8229-97E129714CA6}" keepAlive="1" name="Connection371" type="5" refreshedVersion="0" background="1">
    <dbPr connection="Provider=Microsoft.Mashup.OleDb.1;Data Source=$Workbook$;Location=&quot;390695551898_04&quot;;Extended Properties=&quot;&quot;" commandType="0"/>
  </connection>
  <connection id="546" xr16:uid="{D5694822-6E72-431B-91C4-20783D127589}" keepAlive="1" name="Connection372" type="5" refreshedVersion="0" background="1">
    <dbPr connection="Provider=Microsoft.Mashup.OleDb.1;Data Source=$Workbook$;Location=&quot;391156584336_04&quot;;Extended Properties=&quot;&quot;" commandType="0"/>
  </connection>
  <connection id="547" xr16:uid="{0C9D8EE1-D06B-47FF-9F21-EF0C47E4AD52}" keepAlive="1" name="Connection373" type="5" refreshedVersion="0" background="1">
    <dbPr connection="Provider=Microsoft.Mashup.OleDb.1;Data Source=$Workbook$;Location=&quot;777931898704_04&quot;;Extended Properties=&quot;&quot;" commandType="0"/>
  </connection>
  <connection id="548" xr16:uid="{AA2CE4B6-EF41-4C33-A156-F2153D65D249}" keepAlive="1" name="Connection374" type="5" refreshedVersion="0" background="1">
    <dbPr connection="Provider=Microsoft.Mashup.OleDb.1;Data Source=$Workbook$;Location=&quot;167709803868_04&quot;;Extended Properties=&quot;&quot;" commandType="0"/>
  </connection>
  <connection id="549" xr16:uid="{FAA90A9A-4208-4711-9F23-95031EDD0186}" keepAlive="1" name="Connection375" type="5" refreshedVersion="0" background="1">
    <dbPr connection="Provider=Microsoft.Mashup.OleDb.1;Data Source=$Workbook$;Location=&quot;390336539558_04&quot;;Extended Properties=&quot;&quot;" commandType="0"/>
  </connection>
  <connection id="550" xr16:uid="{46D0E524-B105-4235-BE1D-90E92E82CBA8}" keepAlive="1" name="Connection376" type="5" refreshedVersion="0" background="1">
    <dbPr connection="Provider=Microsoft.Mashup.OleDb.1;Data Source=$Workbook$;Location=&quot;390628728030_04&quot;;Extended Properties=&quot;&quot;" commandType="0"/>
  </connection>
  <connection id="551" xr16:uid="{CC83FE31-A922-4193-88E6-231DCD0B7CF8}" keepAlive="1" name="Connection377" type="5" refreshedVersion="0" background="1">
    <dbPr connection="Provider=Microsoft.Mashup.OleDb.1;Data Source=$Workbook$;Location=&quot;682563740166_04&quot;;Extended Properties=&quot;&quot;" commandType="0"/>
  </connection>
  <connection id="552" xr16:uid="{864E6384-4E4A-4A1E-AC4E-9E8F0D8DDC3E}" keepAlive="1" name="Connection378" type="5" refreshedVersion="0" background="1">
    <dbPr connection="Provider=Microsoft.Mashup.OleDb.1;Data Source=$Workbook$;Location=&quot;133280628761_04&quot;;Extended Properties=&quot;&quot;" commandType="0"/>
  </connection>
  <connection id="553" xr16:uid="{B1640D9D-A184-4AAC-898A-46E35567272D}" keepAlive="1" name="Connection379" type="5" refreshedVersion="0" background="1">
    <dbPr connection="Provider=Microsoft.Mashup.OleDb.1;Data Source=$Workbook$;Location=&quot;390642230589_04&quot;;Extended Properties=&quot;&quot;" commandType="0"/>
  </connection>
  <connection id="554" xr16:uid="{F8100C37-388D-44DC-8836-0FEB54D64507}" keepAlive="1" name="Connection38" type="5" refreshedVersion="0" background="1">
    <dbPr connection="Provider=Microsoft.Mashup.OleDb.1;Data Source=$Workbook$;Location=&quot;391309290024_04&quot;;Extended Properties=&quot;&quot;" commandType="0"/>
  </connection>
  <connection id="555" xr16:uid="{88A98044-A313-4D30-A8F8-1C82AE774971}" keepAlive="1" name="Connection380" type="5" refreshedVersion="0" background="1">
    <dbPr connection="Provider=Microsoft.Mashup.OleDb.1;Data Source=$Workbook$;Location=&quot;137175369848_04&quot;;Extended Properties=&quot;&quot;" commandType="0"/>
  </connection>
  <connection id="556" xr16:uid="{ADB7D866-68F7-4425-8FC2-5754FBAFE823}" keepAlive="1" name="Connection381" type="5" refreshedVersion="0" background="1">
    <dbPr connection="Provider=Microsoft.Mashup.OleDb.1;Data Source=$Workbook$;Location=&quot;148359779033_04&quot;;Extended Properties=&quot;&quot;" commandType="0"/>
  </connection>
  <connection id="557" xr16:uid="{2832FE9A-AB8C-4CEF-85F8-4EEA863A8966}" keepAlive="1" name="Connection382" type="5" refreshedVersion="0" background="1">
    <dbPr connection="Provider=Microsoft.Mashup.OleDb.1;Data Source=$Workbook$;Location=&quot;390071337760_04&quot;;Extended Properties=&quot;&quot;" commandType="0"/>
  </connection>
  <connection id="558" xr16:uid="{13E1F46E-A6C0-423D-94C6-821497453131}" keepAlive="1" name="Connection383" type="5" refreshedVersion="0" background="1">
    <dbPr connection="Provider=Microsoft.Mashup.OleDb.1;Data Source=$Workbook$;Location=&quot;390247366470_04&quot;;Extended Properties=&quot;&quot;" commandType="0"/>
  </connection>
  <connection id="559" xr16:uid="{80EB94C9-D747-446C-99FC-3ED5E0F704FD}" keepAlive="1" name="Connection384" type="5" refreshedVersion="0" background="1">
    <dbPr connection="Provider=Microsoft.Mashup.OleDb.1;Data Source=$Workbook$;Location=&quot;014107310022432_04&quot;;Extended Properties=&quot;&quot;" commandType="0"/>
  </connection>
  <connection id="560" xr16:uid="{B9A75156-A94B-481B-B86F-098403FC0A05}" keepAlive="1" name="Connection385" type="5" refreshedVersion="0" background="1">
    <dbPr connection="Provider=Microsoft.Mashup.OleDb.1;Data Source=$Workbook$;Location=&quot;125221272895_04&quot;;Extended Properties=&quot;&quot;" commandType="0"/>
  </connection>
  <connection id="561" xr16:uid="{4C5CB529-36EB-4308-8250-0B74CD90EE01}" keepAlive="1" name="Connection386" type="5" refreshedVersion="0" background="1">
    <dbPr connection="Provider=Microsoft.Mashup.OleDb.1;Data Source=$Workbook$;Location=&quot;778379148131_04&quot;;Extended Properties=&quot;&quot;" commandType="0"/>
  </connection>
  <connection id="562" xr16:uid="{AB237695-7EB9-4E1B-89E8-62726680A2AF}" keepAlive="1" name="Connection387" type="5" refreshedVersion="0" background="1">
    <dbPr connection="Provider=Microsoft.Mashup.OleDb.1;Data Source=$Workbook$;Location=&quot;779589768647_04&quot;;Extended Properties=&quot;&quot;" commandType="0"/>
  </connection>
  <connection id="563" xr16:uid="{60282055-CA89-4FEA-BD3D-9299B7A0CB57}" keepAlive="1" name="Connection388" type="5" refreshedVersion="0" background="1">
    <dbPr connection="Provider=Microsoft.Mashup.OleDb.1;Data Source=$Workbook$;Location=&quot;779589768316_04&quot;;Extended Properties=&quot;&quot;" commandType="0"/>
  </connection>
  <connection id="564" xr16:uid="{60E42E88-6BE8-48DC-BE1C-07C7C021A5CB}" keepAlive="1" name="Connection389" type="5" refreshedVersion="0" background="1">
    <dbPr connection="Provider=Microsoft.Mashup.OleDb.1;Data Source=$Workbook$;Location=&quot;114255788248_04&quot;;Extended Properties=&quot;&quot;" commandType="0"/>
  </connection>
  <connection id="565" xr16:uid="{6F3B05BD-EAED-4A2A-938E-D078F7A97B3A}" keepAlive="1" name="Connection39" type="5" refreshedVersion="0" saveData="1">
    <dbPr connection="Provider=Microsoft.Mashup.OleDb.1;Data Source=$Workbook$;Location=&quot;390785258830_01&quot;;Extended Properties=&quot;&quot;" commandType="0"/>
  </connection>
  <connection id="566" xr16:uid="{BFF1348F-05F8-4488-821D-C6B7F94F4C64}" keepAlive="1" name="Connection390" type="5" refreshedVersion="0" background="1">
    <dbPr connection="Provider=Microsoft.Mashup.OleDb.1;Data Source=$Workbook$;Location=&quot;149614128826_04&quot;;Extended Properties=&quot;&quot;" commandType="0"/>
  </connection>
  <connection id="567" xr16:uid="{0A42FC62-A84C-46F0-9F8C-7E787A72ED40}" keepAlive="1" name="Connection391" type="5" refreshedVersion="0" background="1">
    <dbPr connection="Provider=Microsoft.Mashup.OleDb.1;Data Source=$Workbook$;Location=&quot;776411645585_04&quot;;Extended Properties=&quot;&quot;" commandType="0"/>
  </connection>
  <connection id="568" xr16:uid="{76FDCED5-D9A5-45EE-9468-59534502FE36}" keepAlive="1" name="Connection392" type="5" refreshedVersion="0" background="1">
    <dbPr connection="Provider=Microsoft.Mashup.OleDb.1;Data Source=$Workbook$;Location=&quot;856170010001944_04&quot;;Extended Properties=&quot;&quot;" commandType="0"/>
  </connection>
  <connection id="569" xr16:uid="{78F476C4-EF0F-41BC-BCB5-358040FEDD1C}" keepAlive="1" name="Connection393" type="5" refreshedVersion="0" background="1">
    <dbPr connection="Provider=Microsoft.Mashup.OleDb.1;Data Source=$Workbook$;Location=&quot;778932251540_04&quot;;Extended Properties=&quot;&quot;" commandType="0"/>
  </connection>
  <connection id="570" xr16:uid="{ED011EEA-F5CE-4F10-A9DF-92C2620ACD53}" keepAlive="1" name="Connection394" type="5" refreshedVersion="0" background="1">
    <dbPr connection="Provider=Microsoft.Mashup.OleDb.1;Data Source=$Workbook$;Location=&quot;141453777523_04&quot;;Extended Properties=&quot;&quot;" commandType="0"/>
  </connection>
  <connection id="571" xr16:uid="{EF8516FD-63B7-4E08-8909-4C5A6D609265}" keepAlive="1" name="Connection395" type="5" refreshedVersion="0" background="1">
    <dbPr connection="Provider=Microsoft.Mashup.OleDb.1;Data Source=$Workbook$;Location=&quot;777389135489_04&quot;;Extended Properties=&quot;&quot;" commandType="0"/>
  </connection>
  <connection id="572" xr16:uid="{BE7FD28B-8E2A-4FDD-A7A9-BF94D97A1CB3}" keepAlive="1" name="Connection396" type="5" refreshedVersion="0" background="1">
    <dbPr connection="Provider=Microsoft.Mashup.OleDb.1;Data Source=$Workbook$;Location=&quot;779816613684_04&quot;;Extended Properties=&quot;&quot;" commandType="0"/>
  </connection>
  <connection id="573" xr16:uid="{21B8FEAF-166C-469F-9A7A-4F27FE3B98C9}" keepAlive="1" name="Connection397" type="5" refreshedVersion="0" background="1">
    <dbPr connection="Provider=Microsoft.Mashup.OleDb.1;Data Source=$Workbook$;Location=&quot;431054479900_04&quot;;Extended Properties=&quot;&quot;" commandType="0"/>
  </connection>
  <connection id="574" xr16:uid="{2CDDC4DF-B138-4971-9740-855B3096077E}" keepAlive="1" name="Connection398" type="5" refreshedVersion="0" background="1">
    <dbPr connection="Provider=Microsoft.Mashup.OleDb.1;Data Source=$Workbook$;Location=&quot;779739600502_04&quot;;Extended Properties=&quot;&quot;" commandType="0"/>
  </connection>
  <connection id="575" xr16:uid="{706B0D85-1503-4357-82CE-0065D92FD112}" keepAlive="1" name="Connection399" type="5" refreshedVersion="0" background="1">
    <dbPr connection="Provider=Microsoft.Mashup.OleDb.1;Data Source=$Workbook$;Location=&quot;135315297268_04&quot;;Extended Properties=&quot;&quot;" commandType="0"/>
  </connection>
  <connection id="576" xr16:uid="{4C13F4C1-FC9D-4F2D-95EC-D817CC3678D4}" keepAlive="1" name="Connection4" type="5" refreshedVersion="0" saveData="1">
    <dbPr connection="Provider=Microsoft.Mashup.OleDb.1;Data Source=$Workbook$;Location=&quot;153263965844&quot;;Extended Properties=&quot;&quot;" commandType="0"/>
  </connection>
  <connection id="577" xr16:uid="{2F4666E7-39E7-4A41-BCA9-BC31927F0FC7}" keepAlive="1" name="Connection40" type="5" refreshedVersion="0" background="1">
    <dbPr connection="Provider=Microsoft.Mashup.OleDb.1;Data Source=$Workbook$;Location=&quot;390785258830_04&quot;;Extended Properties=&quot;&quot;" commandType="0"/>
  </connection>
  <connection id="578" xr16:uid="{716EE9B1-4A00-46C2-A9DA-80FDA67F1621}" keepAlive="1" name="Connection400" type="5" refreshedVersion="0" background="1">
    <dbPr connection="Provider=Microsoft.Mashup.OleDb.1;Data Source=$Workbook$;Location=&quot;138894876649_04&quot;;Extended Properties=&quot;&quot;" commandType="0"/>
  </connection>
  <connection id="579" xr16:uid="{09E055C6-DEF8-4893-89C7-D88994B98B2F}" keepAlive="1" name="Connection401" type="5" refreshedVersion="0" background="1">
    <dbPr connection="Provider=Microsoft.Mashup.OleDb.1;Data Source=$Workbook$;Location=&quot;140184548136_04&quot;;Extended Properties=&quot;&quot;" commandType="0"/>
  </connection>
  <connection id="580" xr16:uid="{61125670-6E1E-4F8F-9489-AF62A5C50E88}" keepAlive="1" name="Connection402" type="5" refreshedVersion="0" background="1">
    <dbPr connection="Provider=Microsoft.Mashup.OleDb.1;Data Source=$Workbook$;Location=&quot;140669819418_04&quot;;Extended Properties=&quot;&quot;" commandType="0"/>
  </connection>
  <connection id="581" xr16:uid="{E2EBE33A-D77A-4995-AE67-5C66E9208FEC}" keepAlive="1" name="Connection403" type="5" refreshedVersion="0" background="1">
    <dbPr connection="Provider=Microsoft.Mashup.OleDb.1;Data Source=$Workbook$;Location=&quot;278616910079174_04&quot;;Extended Properties=&quot;&quot;" commandType="0"/>
  </connection>
  <connection id="582" xr16:uid="{3455F143-5428-41A6-957F-088B9D08220C}" keepAlive="1" name="Connection404" type="5" refreshedVersion="0" background="1">
    <dbPr connection="Provider=Microsoft.Mashup.OleDb.1;Data Source=$Workbook$;Location=&quot;778159265655_04&quot;;Extended Properties=&quot;&quot;" commandType="0"/>
  </connection>
  <connection id="583" xr16:uid="{62AA7F24-20DA-4034-BF0B-4FB6610E43D6}" keepAlive="1" name="Connection405" type="5" refreshedVersion="0" background="1">
    <dbPr connection="Provider=Microsoft.Mashup.OleDb.1;Data Source=$Workbook$;Location=&quot;779664417030_04&quot;;Extended Properties=&quot;&quot;" commandType="0"/>
  </connection>
  <connection id="584" xr16:uid="{6BD56860-B523-4B18-A2F4-4D46F2110B68}" keepAlive="1" name="Connection406" type="5" refreshedVersion="0" background="1">
    <dbPr connection="Provider=Microsoft.Mashup.OleDb.1;Data Source=$Workbook$;Location=&quot;779716901767_04&quot;;Extended Properties=&quot;&quot;" commandType="0"/>
  </connection>
  <connection id="585" xr16:uid="{1B98BC93-D87E-47E0-9767-FD1CE200942E}" keepAlive="1" name="Connection407" type="5" refreshedVersion="0" background="1">
    <dbPr connection="Provider=Microsoft.Mashup.OleDb.1;Data Source=$Workbook$;Location=&quot;779739601575_04&quot;;Extended Properties=&quot;&quot;" commandType="0"/>
  </connection>
  <connection id="586" xr16:uid="{34A00389-07B3-40FC-B2B8-427314AE1C35}" keepAlive="1" name="Connection408" type="5" refreshedVersion="0" background="1">
    <dbPr connection="Provider=Microsoft.Mashup.OleDb.1;Data Source=$Workbook$;Location=&quot;780604509054_04&quot;;Extended Properties=&quot;&quot;" commandType="0"/>
  </connection>
  <connection id="587" xr16:uid="{F9F104C1-DFA4-4719-A54A-5EBF9BBBBF6E}" keepAlive="1" name="Connection409" type="5" refreshedVersion="0" background="1">
    <dbPr connection="Provider=Microsoft.Mashup.OleDb.1;Data Source=$Workbook$;Location=&quot;972136418425420_04&quot;;Extended Properties=&quot;&quot;" commandType="0"/>
  </connection>
  <connection id="588" xr16:uid="{3C40096E-DCCC-4AA1-8CD8-19E1B1D99179}" keepAlive="1" name="Connection41" type="5" refreshedVersion="0" background="1">
    <dbPr connection="Provider=Microsoft.Mashup.OleDb.1;Data Source=$Workbook$;Location=&quot;390785258830_01&quot;;Extended Properties=&quot;&quot;" commandType="0"/>
  </connection>
  <connection id="589" xr16:uid="{94D74CC3-A4A0-4D2C-AC58-7DFD0E447F75}" keepAlive="1" name="Connection410" type="5" refreshedVersion="0" background="1">
    <dbPr connection="Provider=Microsoft.Mashup.OleDb.1;Data Source=$Workbook$;Location=&quot;134574104895_04&quot;;Extended Properties=&quot;&quot;" commandType="0"/>
  </connection>
  <connection id="590" xr16:uid="{97DFA4E8-B03B-486D-BCCB-E3E4698612F1}" keepAlive="1" name="Connection411" type="5" refreshedVersion="0" background="1">
    <dbPr connection="Provider=Microsoft.Mashup.OleDb.1;Data Source=$Workbook$;Location=&quot;141658206557_04&quot;;Extended Properties=&quot;&quot;" commandType="0"/>
  </connection>
  <connection id="591" xr16:uid="{B05C2613-468F-4F0F-8596-7FE54A7EDBDD}" keepAlive="1" name="Connection412" type="5" refreshedVersion="0" background="1">
    <dbPr connection="Provider=Microsoft.Mashup.OleDb.1;Data Source=$Workbook$;Location=&quot;149810699590_04&quot;;Extended Properties=&quot;&quot;" commandType="0"/>
  </connection>
  <connection id="592" xr16:uid="{C7AB5C1F-C5DF-4F0A-9AD6-BC1DCA889C0B}" keepAlive="1" name="Connection413" type="5" refreshedVersion="0" background="1">
    <dbPr connection="Provider=Microsoft.Mashup.OleDb.1;Data Source=$Workbook$;Location=&quot;779180857747_04&quot;;Extended Properties=&quot;&quot;" commandType="0"/>
  </connection>
  <connection id="593" xr16:uid="{E526F4C4-71E7-43B2-8ED7-D24354AE1629}" keepAlive="1" name="Connection414" type="5" refreshedVersion="0" background="1">
    <dbPr connection="Provider=Microsoft.Mashup.OleDb.1;Data Source=$Workbook$;Location=&quot;779411418942_04&quot;;Extended Properties=&quot;&quot;" commandType="0"/>
  </connection>
  <connection id="594" xr16:uid="{986AF2D8-5556-4046-BC3B-A426A96ADEFB}" keepAlive="1" name="Connection415" type="5" refreshedVersion="0" background="1">
    <dbPr connection="Provider=Microsoft.Mashup.OleDb.1;Data Source=$Workbook$;Location=&quot;779692713970_04&quot;;Extended Properties=&quot;&quot;" commandType="0"/>
  </connection>
  <connection id="595" xr16:uid="{2243183D-3555-469B-B0FB-0F986980D6F7}" keepAlive="1" name="Connection416" type="5" refreshedVersion="0" background="1">
    <dbPr connection="Provider=Microsoft.Mashup.OleDb.1;Data Source=$Workbook$;Location=&quot;975801710063119_04&quot;;Extended Properties=&quot;&quot;" commandType="0"/>
  </connection>
  <connection id="596" xr16:uid="{75A15D23-A4B2-4D52-BF6F-EA643506EB8B}" keepAlive="1" name="Connection417" type="5" refreshedVersion="0" background="1">
    <dbPr connection="Provider=Microsoft.Mashup.OleDb.1;Data Source=$Workbook$;Location=&quot;149334719122_04&quot;;Extended Properties=&quot;&quot;" commandType="0"/>
  </connection>
  <connection id="597" xr16:uid="{8BA280B2-EFBB-4847-9A28-CD00C255651D}" keepAlive="1" name="Connection418" type="5" refreshedVersion="0" background="1">
    <dbPr connection="Provider=Microsoft.Mashup.OleDb.1;Data Source=$Workbook$;Location=&quot;133205454518_04&quot;;Extended Properties=&quot;&quot;" commandType="0"/>
  </connection>
  <connection id="598" xr16:uid="{67AFA3DB-7CC5-4977-A9C7-F02201C42F8E}" keepAlive="1" name="Connection419" type="5" refreshedVersion="0" background="1">
    <dbPr connection="Provider=Microsoft.Mashup.OleDb.1;Data Source=$Workbook$;Location=&quot;145904884871_04&quot;;Extended Properties=&quot;&quot;" commandType="0"/>
  </connection>
  <connection id="599" xr16:uid="{8B150633-A6CF-48DC-938A-8C42F81079D3}" keepAlive="1" name="Connection42" type="5" refreshedVersion="0" background="1">
    <dbPr connection="Provider=Microsoft.Mashup.OleDb.1;Data Source=$Workbook$;Location=&quot;390785258830_04&quot;;Extended Properties=&quot;&quot;" commandType="0"/>
  </connection>
  <connection id="600" xr16:uid="{CAC7B12E-A34F-46D5-BFA1-5AE7BD80DED4}" keepAlive="1" name="Connection420" type="5" refreshedVersion="0" background="1">
    <dbPr connection="Provider=Microsoft.Mashup.OleDb.1;Data Source=$Workbook$;Location=&quot;779213635396_04&quot;;Extended Properties=&quot;&quot;" commandType="0"/>
  </connection>
  <connection id="601" xr16:uid="{C4DF490A-3C81-4A66-B76F-D68A775A6F48}" keepAlive="1" name="Connection421" type="5" refreshedVersion="0" background="1">
    <dbPr connection="Provider=Microsoft.Mashup.OleDb.1;Data Source=$Workbook$;Location=&quot;780374112816_04&quot;;Extended Properties=&quot;&quot;" commandType="0"/>
  </connection>
  <connection id="602" xr16:uid="{16931F34-CD87-407B-8790-362C01BDF2F3}" keepAlive="1" name="Connection422" type="5" refreshedVersion="0" background="1">
    <dbPr connection="Provider=Microsoft.Mashup.OleDb.1;Data Source=$Workbook$;Location=&quot;137883145485_04&quot;;Extended Properties=&quot;&quot;" commandType="0"/>
  </connection>
  <connection id="603" xr16:uid="{C6A3F606-8A42-4602-9CC1-E8444303683A}" keepAlive="1" name="Connection423" type="5" refreshedVersion="0" background="1">
    <dbPr connection="Provider=Microsoft.Mashup.OleDb.1;Data Source=$Workbook$;Location=&quot;133206213015_04&quot;;Extended Properties=&quot;&quot;" commandType="0"/>
  </connection>
  <connection id="604" xr16:uid="{E75F65A3-67D0-4AE7-8545-183F269AFBB4}" keepAlive="1" name="Connection424" type="5" refreshedVersion="0" background="1">
    <dbPr connection="Provider=Microsoft.Mashup.OleDb.1;Data Source=$Workbook$;Location=&quot;125221193044_04&quot;;Extended Properties=&quot;&quot;" commandType="0"/>
  </connection>
  <connection id="605" xr16:uid="{393D1473-3D36-4DC4-8F09-75892471FB4B}" keepAlive="1" name="Connection425" type="5" refreshedVersion="0" background="1">
    <dbPr connection="Provider=Microsoft.Mashup.OleDb.1;Data Source=$Workbook$;Location=&quot;491613713744_04&quot;;Extended Properties=&quot;&quot;" commandType="0"/>
  </connection>
  <connection id="606" xr16:uid="{60ED38F6-AD80-4D1B-AA0C-509672CCF3F7}" keepAlive="1" name="Connection426" type="5" refreshedVersion="0" background="1">
    <dbPr connection="Provider=Microsoft.Mashup.OleDb.1;Data Source=$Workbook$;Location=&quot;778733571357_04&quot;;Extended Properties=&quot;&quot;" commandType="0"/>
  </connection>
  <connection id="607" xr16:uid="{A220DB48-6006-406F-B32E-0AADFEB2F39D}" keepAlive="1" name="Connection427" type="5" refreshedVersion="0" background="1">
    <dbPr connection="Provider=Microsoft.Mashup.OleDb.1;Data Source=$Workbook$;Location=&quot;779127125410_04&quot;;Extended Properties=&quot;&quot;" commandType="0"/>
  </connection>
  <connection id="608" xr16:uid="{75F10464-408E-4961-89F9-766EC50B4F54}" keepAlive="1" name="Connection428" type="5" refreshedVersion="0" background="1">
    <dbPr connection="Provider=Microsoft.Mashup.OleDb.1;Data Source=$Workbook$;Location=&quot;779232487820_04&quot;;Extended Properties=&quot;&quot;" commandType="0"/>
  </connection>
  <connection id="609" xr16:uid="{87754738-7592-4BB6-BDBF-06C84348CA88}" keepAlive="1" name="Connection429" type="5" refreshedVersion="0" background="1">
    <dbPr connection="Provider=Microsoft.Mashup.OleDb.1;Data Source=$Workbook$;Location=&quot;812085489414279_04&quot;;Extended Properties=&quot;&quot;" commandType="0"/>
  </connection>
  <connection id="610" xr16:uid="{A1C9FD62-1E0B-4E1C-B379-EB4C52C19039}" keepAlive="1" name="Connection43" type="5" refreshedVersion="6" background="1" saveData="1">
    <dbPr connection="Provider=Microsoft.Mashup.OleDb.1;Data Source=$Workbook$;Location=Table 431054484276;Extended Properties=&quot;&quot;" command="SELECT * FROM [Table 431054484276]"/>
  </connection>
  <connection id="611" xr16:uid="{DB4416C4-7D78-40E8-8D4F-AB8EDE2740F0}" keepAlive="1" name="Connection430" type="5" refreshedVersion="0" background="1">
    <dbPr connection="Provider=Microsoft.Mashup.OleDb.1;Data Source=$Workbook$;Location=&quot;123010707693_04&quot;;Extended Properties=&quot;&quot;" commandType="0"/>
  </connection>
  <connection id="612" xr16:uid="{E7E3C1F3-E28A-4A1E-8648-7AD62BEE4877}" keepAlive="1" name="Connection431" type="5" refreshedVersion="0" background="1">
    <dbPr connection="Provider=Microsoft.Mashup.OleDb.1;Data Source=$Workbook$;Location=&quot;496358670090139_04&quot;;Extended Properties=&quot;&quot;" commandType="0"/>
  </connection>
  <connection id="613" xr16:uid="{22D717A3-1EFF-42FC-A4B5-16C58609683A}" keepAlive="1" name="Connection432" type="5" refreshedVersion="0" background="1">
    <dbPr connection="Provider=Microsoft.Mashup.OleDb.1;Data Source=$Workbook$;Location=&quot;604822486485719_04&quot;;Extended Properties=&quot;&quot;" commandType="0"/>
  </connection>
  <connection id="614" xr16:uid="{B669B9B1-8E0C-4EF0-AB45-EDE4CDD32660}" keepAlive="1" name="Connection433" type="5" refreshedVersion="0" background="1">
    <dbPr connection="Provider=Microsoft.Mashup.OleDb.1;Data Source=$Workbook$;Location=&quot;778413887733_04&quot;;Extended Properties=&quot;&quot;" commandType="0"/>
  </connection>
  <connection id="615" xr16:uid="{79A7514A-899A-4BAD-9BB8-04AED18B65AE}" keepAlive="1" name="Connection434" type="5" refreshedVersion="0" background="1">
    <dbPr connection="Provider=Microsoft.Mashup.OleDb.1;Data Source=$Workbook$;Location=&quot;778897631279_04&quot;;Extended Properties=&quot;&quot;" commandType="0"/>
  </connection>
  <connection id="616" xr16:uid="{586357CA-EE19-4173-9F5F-2713ED7F0A86}" keepAlive="1" name="Connection435" type="5" refreshedVersion="0" background="1">
    <dbPr connection="Provider=Microsoft.Mashup.OleDb.1;Data Source=$Workbook$;Location=&quot;778919700947_04&quot;;Extended Properties=&quot;&quot;" commandType="0"/>
  </connection>
  <connection id="617" xr16:uid="{70655F3D-9E02-4B25-89F1-0CA7D23B7D1F}" keepAlive="1" name="Connection436" type="5" refreshedVersion="0" background="1">
    <dbPr connection="Provider=Microsoft.Mashup.OleDb.1;Data Source=$Workbook$;Location=&quot;778998562300_04&quot;;Extended Properties=&quot;&quot;" commandType="0"/>
  </connection>
  <connection id="618" xr16:uid="{C8A56CA2-CE15-46F9-B522-E7D91B33EB1B}" keepAlive="1" name="Connection437" type="5" refreshedVersion="0" background="1">
    <dbPr connection="Provider=Microsoft.Mashup.OleDb.1;Data Source=$Workbook$;Location=&quot;779196850650_04&quot;;Extended Properties=&quot;&quot;" commandType="0"/>
  </connection>
  <connection id="619" xr16:uid="{FDC1B79D-6683-4CFC-8C87-D52E3A7A5AD5}" keepAlive="1" name="Connection438" type="5" refreshedVersion="0" background="1">
    <dbPr connection="Provider=Microsoft.Mashup.OleDb.1;Data Source=$Workbook$;Location=&quot;789326844827_04&quot;;Extended Properties=&quot;&quot;" commandType="0"/>
  </connection>
  <connection id="620" xr16:uid="{5C2A08E6-4D89-4838-8512-3C58068B890A}" keepAlive="1" name="Connection439" type="5" refreshedVersion="0" background="1">
    <dbPr connection="Provider=Microsoft.Mashup.OleDb.1;Data Source=$Workbook$;Location=&quot;128952297370_04&quot;;Extended Properties=&quot;&quot;" commandType="0"/>
  </connection>
  <connection id="621" xr16:uid="{C89C5499-E148-48F6-A39D-76260BD20BC7}" keepAlive="1" name="Connection44" type="5" refreshedVersion="0" saveData="1">
    <dbPr connection="Provider=Microsoft.Mashup.OleDb.1;Data Source=$Workbook$;Location=&quot;390785258830_01&quot;;Extended Properties=&quot;&quot;" commandType="0"/>
  </connection>
  <connection id="622" xr16:uid="{FEEFBC7C-3FE6-4F70-97B4-845C938EE09C}" keepAlive="1" name="Connection440" type="5" refreshedVersion="0" background="1">
    <dbPr connection="Provider=Microsoft.Mashup.OleDb.1;Data Source=$Workbook$;Location=&quot;777118418340_04&quot;;Extended Properties=&quot;&quot;" commandType="0"/>
  </connection>
  <connection id="623" xr16:uid="{92E23CD3-24FE-40D7-91D4-B408F9B47447}" keepAlive="1" name="Connection441" type="5" refreshedVersion="0" background="1">
    <dbPr connection="Provider=Microsoft.Mashup.OleDb.1;Data Source=$Workbook$;Location=&quot;778560786905_04&quot;;Extended Properties=&quot;&quot;" commandType="0"/>
  </connection>
  <connection id="624" xr16:uid="{8FD19CAB-B40B-4E2A-A752-35736C1D505C}" keepAlive="1" name="Connection442" type="5" refreshedVersion="0" background="1">
    <dbPr connection="Provider=Microsoft.Mashup.OleDb.1;Data Source=$Workbook$;Location=&quot;052459022637450_04&quot;;Extended Properties=&quot;&quot;" commandType="0"/>
  </connection>
  <connection id="625" xr16:uid="{CD634CBA-495A-49E1-8500-E79A7BBAA63F}" keepAlive="1" name="Connection443" type="5" refreshedVersion="0" background="1">
    <dbPr connection="Provider=Microsoft.Mashup.OleDb.1;Data Source=$Workbook$;Location=&quot;115248958186_04&quot;;Extended Properties=&quot;&quot;" commandType="0"/>
  </connection>
  <connection id="626" xr16:uid="{4921DE78-A714-4001-B416-BBC775EF0B09}" keepAlive="1" name="Connection444" type="5" refreshedVersion="0" background="1">
    <dbPr connection="Provider=Microsoft.Mashup.OleDb.1;Data Source=$Workbook$;Location=&quot;778317236051_04&quot;;Extended Properties=&quot;&quot;" commandType="0"/>
  </connection>
  <connection id="627" xr16:uid="{CD196431-7024-4569-8CB0-91F4F9F0669E}" keepAlive="1" name="Connection445" type="5" refreshedVersion="0" background="1">
    <dbPr connection="Provider=Microsoft.Mashup.OleDb.1;Data Source=$Workbook$;Location=&quot;778473690280_04&quot;;Extended Properties=&quot;&quot;" commandType="0"/>
  </connection>
  <connection id="628" xr16:uid="{2111A707-DB02-40D4-9324-725A6D773A51}" keepAlive="1" name="Connection446" type="5" refreshedVersion="0" background="1">
    <dbPr connection="Provider=Microsoft.Mashup.OleDb.1;Data Source=$Workbook$;Location=&quot;778499820680_04&quot;;Extended Properties=&quot;&quot;" commandType="0"/>
  </connection>
  <connection id="629" xr16:uid="{EA1C9831-30B5-42DE-BA76-D2FC1BB47DC8}" keepAlive="1" name="Connection447" type="5" refreshedVersion="0" background="1">
    <dbPr connection="Provider=Microsoft.Mashup.OleDb.1;Data Source=$Workbook$;Location=&quot;778632991567_04&quot;;Extended Properties=&quot;&quot;" commandType="0"/>
  </connection>
  <connection id="630" xr16:uid="{4B67B1BB-1FC2-4FE3-B649-51E01007AE36}" keepAlive="1" name="Connection448" type="5" refreshedVersion="0" background="1">
    <dbPr connection="Provider=Microsoft.Mashup.OleDb.1;Data Source=$Workbook$;Location=&quot;779110660454_04&quot;;Extended Properties=&quot;&quot;" commandType="0"/>
  </connection>
  <connection id="631" xr16:uid="{ADE81CF1-C0C1-4CB9-8F94-0AB5A932C8BC}" keepAlive="1" name="Connection449" type="5" refreshedVersion="0" background="1">
    <dbPr connection="Provider=Microsoft.Mashup.OleDb.1;Data Source=$Workbook$;Location=&quot;136146808870_04&quot;;Extended Properties=&quot;&quot;" commandType="0"/>
  </connection>
  <connection id="632" xr16:uid="{87185753-2536-44E6-B92B-1DC19A52C7C0}" keepAlive="1" name="Connection45" type="5" refreshedVersion="0" background="1">
    <dbPr connection="Provider=Microsoft.Mashup.OleDb.1;Data Source=$Workbook$;Location=&quot;390785258830_04&quot;;Extended Properties=&quot;&quot;" commandType="0"/>
  </connection>
  <connection id="633" xr16:uid="{E0533497-E74F-44FD-8AA9-D4E4910DCEFA}" keepAlive="1" name="Connection450" type="5" refreshedVersion="0" background="1">
    <dbPr connection="Provider=Microsoft.Mashup.OleDb.1;Data Source=$Workbook$;Location=&quot;014107318866434_04&quot;;Extended Properties=&quot;&quot;" commandType="0"/>
  </connection>
  <connection id="634" xr16:uid="{8ED4E72D-C3F0-44BA-A4D2-4EE08A37E38B}" keepAlive="1" name="Connection451" type="5" refreshedVersion="0" background="1">
    <dbPr connection="Provider=Microsoft.Mashup.OleDb.1;Data Source=$Workbook$;Location=&quot;121341139583_04&quot;;Extended Properties=&quot;&quot;" commandType="0"/>
  </connection>
  <connection id="635" xr16:uid="{73741E01-E349-4C7B-94EF-0A4B1512F67E}" keepAlive="1" name="Connection452" type="5" refreshedVersion="0" background="1">
    <dbPr connection="Provider=Microsoft.Mashup.OleDb.1;Data Source=$Workbook$;Location=&quot;138840923659_04&quot;;Extended Properties=&quot;&quot;" commandType="0"/>
  </connection>
  <connection id="636" xr16:uid="{00BA755E-BEFD-46C5-8E79-D0968B1E36B8}" keepAlive="1" name="Connection453" type="5" refreshedVersion="0" background="1">
    <dbPr connection="Provider=Microsoft.Mashup.OleDb.1;Data Source=$Workbook$;Location=&quot;778712036927_04&quot;;Extended Properties=&quot;&quot;" commandType="0"/>
  </connection>
  <connection id="637" xr16:uid="{592DB004-DF2A-42CA-B5FD-E601936D3CE0}" keepAlive="1" name="Connection454" type="5" refreshedVersion="0" background="1">
    <dbPr connection="Provider=Microsoft.Mashup.OleDb.1;Data Source=$Workbook$;Location=&quot;780131472400_04&quot;;Extended Properties=&quot;&quot;" commandType="0"/>
  </connection>
  <connection id="638" xr16:uid="{723915A4-E6E0-4FE0-AEC9-B9F33AE3332A}" keepAlive="1" name="Connection455" type="5" refreshedVersion="0" background="1">
    <dbPr connection="Provider=Microsoft.Mashup.OleDb.1;Data Source=$Workbook$;Location=&quot;785576472465110_04&quot;;Extended Properties=&quot;&quot;" commandType="0"/>
  </connection>
  <connection id="639" xr16:uid="{B5F6EEE8-2683-4E20-BFDC-D0950F9AD22C}" keepAlive="1" name="Connection456" type="5" refreshedVersion="0" background="1">
    <dbPr connection="Provider=Microsoft.Mashup.OleDb.1;Data Source=$Workbook$;Location=&quot;778806504348_04&quot;;Extended Properties=&quot;&quot;" commandType="0"/>
  </connection>
  <connection id="640" xr16:uid="{F0D3EAEA-14FA-4AB5-9225-FB05E55B25FD}" keepAlive="1" name="Connection457" type="5" refreshedVersion="0" background="1">
    <dbPr connection="Provider=Microsoft.Mashup.OleDb.1;Data Source=$Workbook$;Location=&quot;136851828240_04&quot;;Extended Properties=&quot;&quot;" commandType="0"/>
  </connection>
  <connection id="641" xr16:uid="{02ABAC21-9494-4286-A534-06B2E216639A}" keepAlive="1" name="Connection458" type="5" refreshedVersion="0" background="1">
    <dbPr connection="Provider=Microsoft.Mashup.OleDb.1;Data Source=$Workbook$;Location=&quot;778432242689_04&quot;;Extended Properties=&quot;&quot;" commandType="0"/>
  </connection>
  <connection id="642" xr16:uid="{9E859A53-0CD1-4A64-89A4-08848FA3627D}" keepAlive="1" name="Connection459" type="5" refreshedVersion="0" background="1">
    <dbPr connection="Provider=Microsoft.Mashup.OleDb.1;Data Source=$Workbook$;Location=&quot;123874836239_04&quot;;Extended Properties=&quot;&quot;" commandType="0"/>
  </connection>
  <connection id="643" xr16:uid="{D03AD340-BC4E-4E82-B7BB-6607BDDB02F5}" keepAlive="1" name="Connection46" type="5" refreshedVersion="0" saveData="1">
    <dbPr connection="Provider=Microsoft.Mashup.OleDb.1;Data Source=$Workbook$;Location=&quot;390785258830_01&quot;;Extended Properties=&quot;&quot;" commandType="0"/>
  </connection>
  <connection id="644" xr16:uid="{BADECB3C-F160-4A20-A156-ABD4F00D8DAF}" keepAlive="1" name="Connection460" type="5" refreshedVersion="0" background="1">
    <dbPr connection="Provider=Microsoft.Mashup.OleDb.1;Data Source=$Workbook$;Location=&quot;778267809160_04&quot;;Extended Properties=&quot;&quot;" commandType="0"/>
  </connection>
  <connection id="645" xr16:uid="{168D5086-EFDF-4D08-97F1-794F36D7249F}" keepAlive="1" name="Connection461" type="5" refreshedVersion="0" background="1">
    <dbPr connection="Provider=Microsoft.Mashup.OleDb.1;Data Source=$Workbook$;Location=&quot;778461881542_04&quot;;Extended Properties=&quot;&quot;" commandType="0"/>
  </connection>
  <connection id="646" xr16:uid="{61964352-25F9-4D8F-A2D0-F85EE0AAE35A}" keepAlive="1" name="Connection462" type="5" refreshedVersion="0" background="1">
    <dbPr connection="Provider=Microsoft.Mashup.OleDb.1;Data Source=$Workbook$;Location=&quot;778575315547_04&quot;;Extended Properties=&quot;&quot;" commandType="0"/>
  </connection>
  <connection id="647" xr16:uid="{6324B982-4D79-4C9B-8FE5-14444D0541E1}" keepAlive="1" name="Connection463" type="5" refreshedVersion="0" background="1">
    <dbPr connection="Provider=Microsoft.Mashup.OleDb.1;Data Source=$Workbook$;Location=&quot;778119833230_04&quot;;Extended Properties=&quot;&quot;" commandType="0"/>
  </connection>
  <connection id="648" xr16:uid="{3C3AEC11-9444-426F-8035-03E53D5FBEA2}" keepAlive="1" name="Connection464" type="5" refreshedVersion="0" background="1">
    <dbPr connection="Provider=Microsoft.Mashup.OleDb.1;Data Source=$Workbook$;Location=&quot;127639418432_04&quot;;Extended Properties=&quot;&quot;" commandType="0"/>
  </connection>
  <connection id="649" xr16:uid="{B92BC7AE-F95D-479C-BACA-AE564F6B62D7}" keepAlive="1" name="Connection465" type="5" refreshedVersion="0" background="1">
    <dbPr connection="Provider=Microsoft.Mashup.OleDb.1;Data Source=$Workbook$;Location=&quot;127639418476_04&quot;;Extended Properties=&quot;&quot;" commandType="0"/>
  </connection>
  <connection id="650" xr16:uid="{01661EC1-53E2-40DD-93B9-B7E29DC60F15}" keepAlive="1" name="Connection466" type="5" refreshedVersion="0" background="1">
    <dbPr connection="Provider=Microsoft.Mashup.OleDb.1;Data Source=$Workbook$;Location=&quot;135562154940_04&quot;;Extended Properties=&quot;&quot;" commandType="0"/>
  </connection>
  <connection id="651" xr16:uid="{70A3A85E-E3D1-4516-98A7-1B1D9038F6AF}" keepAlive="1" name="Connection467" type="5" refreshedVersion="0" background="1">
    <dbPr connection="Provider=Microsoft.Mashup.OleDb.1;Data Source=$Workbook$;Location=&quot;777064304921_04&quot;;Extended Properties=&quot;&quot;" commandType="0"/>
  </connection>
  <connection id="652" xr16:uid="{093316F8-7E61-419A-B802-C04BF2FFB6AB}" keepAlive="1" name="Connection468" type="5" refreshedVersion="0" background="1">
    <dbPr connection="Provider=Microsoft.Mashup.OleDb.1;Data Source=$Workbook$;Location=&quot;778085623790_04&quot;;Extended Properties=&quot;&quot;" commandType="0"/>
  </connection>
  <connection id="653" xr16:uid="{5F20E036-5156-414B-B40A-2187D4C1E186}" keepAlive="1" name="Connection469" type="5" refreshedVersion="0" background="1">
    <dbPr connection="Provider=Microsoft.Mashup.OleDb.1;Data Source=$Workbook$;Location=&quot;778186609660_04&quot;;Extended Properties=&quot;&quot;" commandType="0"/>
  </connection>
  <connection id="654" xr16:uid="{87E77311-0991-4F20-B26E-C8A87C615C96}" keepAlive="1" name="Connection47" type="5" refreshedVersion="0" background="1">
    <dbPr connection="Provider=Microsoft.Mashup.OleDb.1;Data Source=$Workbook$;Location=&quot;390785258830_04&quot;;Extended Properties=&quot;&quot;" commandType="0"/>
  </connection>
  <connection id="655" xr16:uid="{D48F40F6-F971-47B0-A9B5-2ED7F16E14D9}" keepAlive="1" name="Connection470" type="5" refreshedVersion="0" background="1">
    <dbPr connection="Provider=Microsoft.Mashup.OleDb.1;Data Source=$Workbook$;Location=&quot;778191602492_04&quot;;Extended Properties=&quot;&quot;" commandType="0"/>
  </connection>
  <connection id="656" xr16:uid="{9D64A8BF-C27F-458D-B522-D60B062DAD11}" keepAlive="1" name="Connection471" type="5" refreshedVersion="0" background="1">
    <dbPr connection="Provider=Microsoft.Mashup.OleDb.1;Data Source=$Workbook$;Location=&quot;409468948370_04&quot;;Extended Properties=&quot;&quot;" commandType="0"/>
  </connection>
  <connection id="657" xr16:uid="{34C9ED44-4FA2-4958-837C-A36DFF462197}" keepAlive="1" name="Connection472" type="5" refreshedVersion="0" background="1">
    <dbPr connection="Provider=Microsoft.Mashup.OleDb.1;Data Source=$Workbook$;Location=&quot;112874335183_04&quot;;Extended Properties=&quot;&quot;" commandType="0"/>
  </connection>
  <connection id="658" xr16:uid="{C0BFE984-A80A-488B-881F-83C129903CDC}" keepAlive="1" name="Connection473" type="5" refreshedVersion="0" background="1">
    <dbPr connection="Provider=Microsoft.Mashup.OleDb.1;Data Source=$Workbook$;Location=&quot;778101913857_04&quot;;Extended Properties=&quot;&quot;" commandType="0"/>
  </connection>
  <connection id="659" xr16:uid="{FC322D2A-7A77-4359-AC46-E0D3AA819FB6}" keepAlive="1" name="Connection474" type="5" refreshedVersion="0" background="1">
    <dbPr connection="Provider=Microsoft.Mashup.OleDb.1;Data Source=$Workbook$;Location=&quot;127009911752_04&quot;;Extended Properties=&quot;&quot;" commandType="0"/>
  </connection>
  <connection id="660" xr16:uid="{6D644581-7FF7-4342-BB52-EDCE2A0F3755}" keepAlive="1" name="Connection475" type="5" refreshedVersion="0" background="1">
    <dbPr connection="Provider=Microsoft.Mashup.OleDb.1;Data Source=$Workbook$;Location=&quot;103912520624_04&quot;;Extended Properties=&quot;&quot;" commandType="0"/>
  </connection>
  <connection id="661" xr16:uid="{EFE9454E-26D6-48E4-B044-F55327B901E7}" keepAlive="1" name="Connection476" type="5" refreshedVersion="0" background="1">
    <dbPr connection="Provider=Microsoft.Mashup.OleDb.1;Data Source=$Workbook$;Location=&quot;119736833807_04&quot;;Extended Properties=&quot;&quot;" commandType="0"/>
  </connection>
  <connection id="662" xr16:uid="{E236D145-5532-4ACD-A13C-72A6FA764E66}" keepAlive="1" name="Connection477" type="5" refreshedVersion="0" background="1">
    <dbPr connection="Provider=Microsoft.Mashup.OleDb.1;Data Source=$Workbook$;Location=&quot;133320892339_04&quot;;Extended Properties=&quot;&quot;" commandType="0"/>
  </connection>
  <connection id="663" xr16:uid="{3AF2FBE5-61E2-4FE8-B61B-E388AADB178E}" keepAlive="1" name="Connection478" type="5" refreshedVersion="0" background="1">
    <dbPr connection="Provider=Microsoft.Mashup.OleDb.1;Data Source=$Workbook$;Location=&quot;133653547327_04&quot;;Extended Properties=&quot;&quot;" commandType="0"/>
  </connection>
  <connection id="664" xr16:uid="{E45010C5-DE84-4D57-B547-FCD3FCA746F6}" keepAlive="1" name="Connection479" type="5" refreshedVersion="0" background="1">
    <dbPr connection="Provider=Microsoft.Mashup.OleDb.1;Data Source=$Workbook$;Location=&quot;780194796010_04&quot;;Extended Properties=&quot;&quot;" commandType="0"/>
  </connection>
  <connection id="665" xr16:uid="{BE3FABA9-8C7D-48DD-9157-31C2180AC3C9}" keepAlive="1" name="Connection48" type="5" refreshedVersion="0" saveData="1">
    <dbPr connection="Provider=Microsoft.Mashup.OleDb.1;Data Source=$Workbook$;Location=&quot;390785258830_01&quot;;Extended Properties=&quot;&quot;" commandType="0"/>
  </connection>
  <connection id="666" xr16:uid="{B3AEF378-1AF4-4C2D-942C-47359545F0BA}" keepAlive="1" name="Connection480" type="5" refreshedVersion="0" background="1">
    <dbPr connection="Provider=Microsoft.Mashup.OleDb.1;Data Source=$Workbook$;Location=&quot;780917785921_04&quot;;Extended Properties=&quot;&quot;" commandType="0"/>
  </connection>
  <connection id="667" xr16:uid="{545E76A4-2426-4189-BD96-E57CDD4F6F70}" keepAlive="1" name="Connection481" type="5" refreshedVersion="0" background="1">
    <dbPr connection="Provider=Microsoft.Mashup.OleDb.1;Data Source=$Workbook$;Location=&quot;984938393999515_04&quot;;Extended Properties=&quot;&quot;" commandType="0"/>
  </connection>
  <connection id="668" xr16:uid="{B30B17FF-45DB-4433-A94E-D86016CACF40}" keepAlive="1" name="Connection482" type="5" refreshedVersion="0" background="1">
    <dbPr connection="Provider=Microsoft.Mashup.OleDb.1;Data Source=$Workbook$;Location=&quot;776943335162_04&quot;;Extended Properties=&quot;&quot;" commandType="0"/>
  </connection>
  <connection id="669" xr16:uid="{322917E7-D168-425E-85E5-F3E0537BEE24}" keepAlive="1" name="Connection483" type="5" refreshedVersion="0" background="1">
    <dbPr connection="Provider=Microsoft.Mashup.OleDb.1;Data Source=$Workbook$;Location=&quot;776171470100_04&quot;;Extended Properties=&quot;&quot;" commandType="0"/>
  </connection>
  <connection id="670" xr16:uid="{E5F201CD-AFD8-4226-BFB2-19D10D6C3DE2}" keepAlive="1" name="Connection484" type="5" refreshedVersion="0" background="1">
    <dbPr connection="Provider=Microsoft.Mashup.OleDb.1;Data Source=$Workbook$;Location=&quot;108557139135_04&quot;;Extended Properties=&quot;&quot;" commandType="0"/>
  </connection>
  <connection id="671" xr16:uid="{2A9FBCB6-087E-4C33-ACAD-ADB2305A6A99}" keepAlive="1" name="Connection485" type="5" refreshedVersion="0" background="1">
    <dbPr connection="Provider=Microsoft.Mashup.OleDb.1;Data Source=$Workbook$;Location=&quot;490471042000_04&quot;;Extended Properties=&quot;&quot;" commandType="0"/>
  </connection>
  <connection id="672" xr16:uid="{1684C2C5-04C8-444B-A34D-04EA115BE483}" keepAlive="1" name="Connection486" type="5" refreshedVersion="0" background="1">
    <dbPr connection="Provider=Microsoft.Mashup.OleDb.1;Data Source=$Workbook$;Location=&quot;490471043988_04&quot;;Extended Properties=&quot;&quot;" commandType="0"/>
  </connection>
  <connection id="673" xr16:uid="{8B535D4C-7323-41F5-B4AB-E3E4C28979A3}" keepAlive="1" name="Connection487" type="5" refreshedVersion="0" background="1">
    <dbPr connection="Provider=Microsoft.Mashup.OleDb.1;Data Source=$Workbook$;Location=&quot;780531135599_04&quot;;Extended Properties=&quot;&quot;" commandType="0"/>
  </connection>
  <connection id="674" xr16:uid="{9C753778-34F6-40FF-8D62-A39F797440B9}" keepAlive="1" name="Connection488" type="5" refreshedVersion="0" background="1">
    <dbPr connection="Provider=Microsoft.Mashup.OleDb.1;Data Source=$Workbook$;Location=&quot;780672756770_04&quot;;Extended Properties=&quot;&quot;" commandType="0"/>
  </connection>
  <connection id="675" xr16:uid="{5A3DBA8F-D3D7-46D8-9352-F0968BB8A4BB}" keepAlive="1" name="Connection489" type="5" refreshedVersion="0" background="1">
    <dbPr connection="Provider=Microsoft.Mashup.OleDb.1;Data Source=$Workbook$;Location=&quot;492784633160_04&quot;;Extended Properties=&quot;&quot;" commandType="0"/>
  </connection>
  <connection id="676" xr16:uid="{B525BCC6-E168-456C-A725-243966BE7198}" keepAlive="1" name="Connection49" type="5" refreshedVersion="0" background="1">
    <dbPr connection="Provider=Microsoft.Mashup.OleDb.1;Data Source=$Workbook$;Location=&quot;390785258830_04&quot;;Extended Properties=&quot;&quot;" commandType="0"/>
  </connection>
  <connection id="677" xr16:uid="{071902C7-F78E-49C7-A63B-6FA1217B83D0}" keepAlive="1" name="Connection490" type="5" refreshedVersion="0" background="1">
    <dbPr connection="Provider=Microsoft.Mashup.OleDb.1;Data Source=$Workbook$;Location=&quot;776808039463_04&quot;;Extended Properties=&quot;&quot;" commandType="0"/>
  </connection>
  <connection id="678" xr16:uid="{75269DB6-4B79-4DBC-AA0E-42C6D394E43F}" keepAlive="1" name="Connection491" type="5" refreshedVersion="0" background="1">
    <dbPr connection="Provider=Microsoft.Mashup.OleDb.1;Data Source=$Workbook$;Location=&quot;780591905571_04&quot;;Extended Properties=&quot;&quot;" commandType="0"/>
  </connection>
  <connection id="679" xr16:uid="{6DDFEBF9-1873-4119-9C25-8C873A55D13B}" keepAlive="1" name="Connection492" type="5" refreshedVersion="0" background="1">
    <dbPr connection="Provider=Microsoft.Mashup.OleDb.1;Data Source=$Workbook$;Location=&quot;132532716040_04&quot;;Extended Properties=&quot;&quot;" commandType="0"/>
  </connection>
  <connection id="680" xr16:uid="{476942F2-5BD2-4426-AACE-73F004795761}" keepAlive="1" name="Connection493" type="5" refreshedVersion="0" background="1">
    <dbPr connection="Provider=Microsoft.Mashup.OleDb.1;Data Source=$Workbook$;Location=&quot;132719948520_04&quot;;Extended Properties=&quot;&quot;" commandType="0"/>
  </connection>
  <connection id="681" xr16:uid="{B6635978-CDA1-4FA1-8C3E-C3D540066BA9}" keepAlive="1" name="Connection494" type="5" refreshedVersion="0" background="1">
    <dbPr connection="Provider=Microsoft.Mashup.OleDb.1;Data Source=$Workbook$;Location=&quot;776438974510_04&quot;;Extended Properties=&quot;&quot;" commandType="0"/>
  </connection>
  <connection id="682" xr16:uid="{9779B691-8BC1-4D5B-B11F-96FF676C25FB}" keepAlive="1" name="Connection495" type="5" refreshedVersion="0" background="1">
    <dbPr connection="Provider=Microsoft.Mashup.OleDb.1;Data Source=$Workbook$;Location=&quot;126804988780_04&quot;;Extended Properties=&quot;&quot;" commandType="0"/>
  </connection>
  <connection id="683" xr16:uid="{FD60BE4D-6F41-49B4-85D4-FD4DE73D4A89}" keepAlive="1" name="Connection496" type="5" refreshedVersion="0" background="1">
    <dbPr connection="Provider=Microsoft.Mashup.OleDb.1;Data Source=$Workbook$;Location=&quot;785576472171387_04&quot;;Extended Properties=&quot;&quot;" commandType="0"/>
  </connection>
  <connection id="684" xr16:uid="{22220F51-0E57-4FAA-B031-78C108034D80}" keepAlive="1" name="Connection497" type="5" refreshedVersion="0" background="1">
    <dbPr connection="Provider=Microsoft.Mashup.OleDb.1;Data Source=$Workbook$;Location=&quot;080867673794058_04&quot;;Extended Properties=&quot;&quot;" commandType="0"/>
  </connection>
  <connection id="685" xr16:uid="{CD762ED5-D626-44D9-8563-000BD7EDECEC}" keepAlive="1" name="Connection498" type="5" refreshedVersion="0" background="1">
    <dbPr connection="Provider=Microsoft.Mashup.OleDb.1;Data Source=$Workbook$;Location=&quot;105295124240_04&quot;;Extended Properties=&quot;&quot;" commandType="0"/>
  </connection>
  <connection id="686" xr16:uid="{B1F13203-910A-400D-83CB-4CF5FF3D1574}" keepAlive="1" name="Connection499" type="5" refreshedVersion="0" background="1">
    <dbPr connection="Provider=Microsoft.Mashup.OleDb.1;Data Source=$Workbook$;Location=&quot;105295222022_04&quot;;Extended Properties=&quot;&quot;" commandType="0"/>
  </connection>
  <connection id="687" xr16:uid="{B61DFC3C-E02B-4C72-8406-C485FB7D3B6A}" keepAlive="1" name="Connection5" type="5" refreshedVersion="0" background="1">
    <dbPr connection="Provider=Microsoft.Mashup.OleDb.1;Data Source=$Workbook$;Location=&quot;153263965844&quot;;Extended Properties=&quot;&quot;" commandType="0"/>
  </connection>
  <connection id="688" xr16:uid="{936D7051-6788-4480-8456-64CB0A238A3B}" keepAlive="1" name="Connection50" type="5" refreshedVersion="0" saveData="1">
    <dbPr connection="Provider=Microsoft.Mashup.OleDb.1;Data Source=$Workbook$;Location=&quot;391433290444_01&quot;;Extended Properties=&quot;&quot;" commandType="0"/>
  </connection>
  <connection id="689" xr16:uid="{DB986DAC-62C6-4C76-A7E6-68629B791B01}" keepAlive="1" name="Connection500" type="5" refreshedVersion="0" background="1">
    <dbPr connection="Provider=Microsoft.Mashup.OleDb.1;Data Source=$Workbook$;Location=&quot;775731274595_04&quot;;Extended Properties=&quot;&quot;" commandType="0"/>
  </connection>
  <connection id="690" xr16:uid="{5A85252F-8415-4FAB-B1C4-FC50F0C8B6A9}" keepAlive="1" name="Connection501" type="5" refreshedVersion="0" background="1">
    <dbPr connection="Provider=Microsoft.Mashup.OleDb.1;Data Source=$Workbook$;Location=&quot;788949174063_04&quot;;Extended Properties=&quot;&quot;" commandType="0"/>
  </connection>
  <connection id="691" xr16:uid="{5803F9B2-7BCD-4E1D-A89E-B02FB869C7FF}" keepAlive="1" name="Connection502" type="5" refreshedVersion="0" background="1">
    <dbPr connection="Provider=Microsoft.Mashup.OleDb.1;Data Source=$Workbook$;Location=&quot;105295099028_04&quot;;Extended Properties=&quot;&quot;" commandType="0"/>
  </connection>
  <connection id="692" xr16:uid="{9F3253B0-DB05-4794-AC33-FE23B1B8AF1A}" keepAlive="1" name="Connection503" type="5" refreshedVersion="0" background="1">
    <dbPr connection="Provider=Microsoft.Mashup.OleDb.1;Data Source=$Workbook$;Location=&quot;119736742794_04&quot;;Extended Properties=&quot;&quot;" commandType="0"/>
  </connection>
  <connection id="693" xr16:uid="{224BA4E4-F39C-4F2C-AC7A-CB6557387F16}" keepAlive="1" name="Connection504" type="5" refreshedVersion="0" background="1">
    <dbPr connection="Provider=Microsoft.Mashup.OleDb.1;Data Source=$Workbook$;Location=&quot;125301233318_04&quot;;Extended Properties=&quot;&quot;" commandType="0"/>
  </connection>
  <connection id="694" xr16:uid="{A2E45B69-1C15-4988-BEBD-01AD31D69A95}" keepAlive="1" name="Connection505" type="5" refreshedVersion="0" background="1">
    <dbPr connection="Provider=Microsoft.Mashup.OleDb.1;Data Source=$Workbook$;Location=&quot;981345815353405_04&quot;;Extended Properties=&quot;&quot;" commandType="0"/>
  </connection>
  <connection id="695" xr16:uid="{963DBD91-A6B6-43B2-8E7A-52C6BE80F3DD}" keepAlive="1" name="Connection506" type="5" refreshedVersion="0" background="1">
    <dbPr connection="Provider=Microsoft.Mashup.OleDb.1;Data Source=$Workbook$;Location=&quot;119261904774_04&quot;;Extended Properties=&quot;&quot;" commandType="0"/>
  </connection>
  <connection id="696" xr16:uid="{55DE7433-411A-4595-8380-0DD10DE25EB2}" keepAlive="1" name="Connection507" type="5" refreshedVersion="0" background="1">
    <dbPr connection="Provider=Microsoft.Mashup.OleDb.1;Data Source=$Workbook$;Location=&quot;489923948136_04&quot;;Extended Properties=&quot;&quot;" commandType="0"/>
  </connection>
  <connection id="697" xr16:uid="{FC84E816-6CA8-4060-94D5-9D51B52FED63}" keepAlive="1" name="Connection508" type="5" refreshedVersion="0" background="1">
    <dbPr connection="Provider=Microsoft.Mashup.OleDb.1;Data Source=$Workbook$;Location=&quot;776309876440_04&quot;;Extended Properties=&quot;&quot;" commandType="0"/>
  </connection>
  <connection id="698" xr16:uid="{81D439D5-D02D-4359-A695-A32BD69CEB7D}" keepAlive="1" name="Connection509" type="5" refreshedVersion="0" background="1">
    <dbPr connection="Provider=Microsoft.Mashup.OleDb.1;Data Source=$Workbook$;Location=&quot;776511292711_04&quot;;Extended Properties=&quot;&quot;" commandType="0"/>
  </connection>
  <connection id="699" xr16:uid="{0A49EE07-1F3A-4CB5-B98A-BAC6E4B56F31}" keepAlive="1" name="Connection51" type="5" refreshedVersion="0" background="1">
    <dbPr connection="Provider=Microsoft.Mashup.OleDb.1;Data Source=$Workbook$;Location=&quot;391433290444_01&quot;;Extended Properties=&quot;&quot;" commandType="0"/>
  </connection>
  <connection id="700" xr16:uid="{16EA1448-B7B3-44C4-A5AE-88450CA790FB}" keepAlive="1" name="Connection510" type="5" refreshedVersion="0" background="1">
    <dbPr connection="Provider=Microsoft.Mashup.OleDb.1;Data Source=$Workbook$;Location=&quot;780078075230_04&quot;;Extended Properties=&quot;&quot;" commandType="0"/>
  </connection>
  <connection id="701" xr16:uid="{A96D76F7-906C-44F6-8947-C412F52C06A6}" keepAlive="1" name="Connection511" type="5" refreshedVersion="0" background="1">
    <dbPr connection="Provider=Microsoft.Mashup.OleDb.1;Data Source=$Workbook$;Location=&quot;780100527477_04&quot;;Extended Properties=&quot;&quot;" commandType="0"/>
  </connection>
  <connection id="702" xr16:uid="{F01D2EFB-7797-4B40-A50C-71FBEEB1ADC7}" keepAlive="1" name="Connection512" type="5" refreshedVersion="0" background="1">
    <dbPr connection="Provider=Microsoft.Mashup.OleDb.1;Data Source=$Workbook$;Location=&quot;780166195359_04&quot;;Extended Properties=&quot;&quot;" commandType="0"/>
  </connection>
  <connection id="703" xr16:uid="{BABA32B7-8F83-4101-882E-E51A9AD8DAEF}" keepAlive="1" name="Connection513" type="5" refreshedVersion="0" background="1">
    <dbPr connection="Provider=Microsoft.Mashup.OleDb.1;Data Source=$Workbook$;Location=&quot;776372984270_04&quot;;Extended Properties=&quot;&quot;" commandType="0"/>
  </connection>
  <connection id="704" xr16:uid="{F6D82A9B-561E-4AE2-9A79-2460823472FD}" keepAlive="1" name="Connection514" type="5" refreshedVersion="0" background="1">
    <dbPr connection="Provider=Microsoft.Mashup.OleDb.1;Data Source=$Workbook$;Location=&quot;075250471272718_04&quot;;Extended Properties=&quot;&quot;" commandType="0"/>
  </connection>
  <connection id="705" xr16:uid="{23FB433C-D3AB-49E9-AF01-E18140F11608}" keepAlive="1" name="Connection515" type="5" refreshedVersion="0" background="1">
    <dbPr connection="Provider=Microsoft.Mashup.OleDb.1;Data Source=$Workbook$;Location=&quot;112523630971_04&quot;;Extended Properties=&quot;&quot;" commandType="0"/>
  </connection>
  <connection id="706" xr16:uid="{34325E75-B629-4A51-8881-7E44AF676050}" keepAlive="1" name="Connection516" type="5" refreshedVersion="0" background="1">
    <dbPr connection="Provider=Microsoft.Mashup.OleDb.1;Data Source=$Workbook$;Location=&quot;538326917026062_04&quot;;Extended Properties=&quot;&quot;" commandType="0"/>
  </connection>
  <connection id="707" xr16:uid="{EB461B98-EA79-493B-ADD7-4A8340A05A1A}" keepAlive="1" name="Connection517" type="5" refreshedVersion="0" background="1">
    <dbPr connection="Provider=Microsoft.Mashup.OleDb.1;Data Source=$Workbook$;Location=&quot;789657379906_04&quot;;Extended Properties=&quot;&quot;" commandType="0"/>
  </connection>
  <connection id="708" xr16:uid="{E8403C35-D95A-4A6A-96DE-EDA4713BCCE9}" keepAlive="1" name="Connection518" type="5" refreshedVersion="0" background="1">
    <dbPr connection="Provider=Microsoft.Mashup.OleDb.1;Data Source=$Workbook$;Location=&quot;110369256600_04&quot;;Extended Properties=&quot;&quot;" commandType="0"/>
  </connection>
  <connection id="709" xr16:uid="{5778A6BD-BFF4-4B52-904C-E72DFA6A8700}" keepAlive="1" name="Connection519" type="5" refreshedVersion="0" background="1">
    <dbPr connection="Provider=Microsoft.Mashup.OleDb.1;Data Source=$Workbook$;Location=&quot;111924277649_04&quot;;Extended Properties=&quot;&quot;" commandType="0"/>
  </connection>
  <connection id="710" xr16:uid="{D16D40AE-1C8F-485A-9D7B-376306D7DA0A}" keepAlive="1" name="Connection52" type="5" refreshedVersion="0" background="1">
    <dbPr connection="Provider=Microsoft.Mashup.OleDb.1;Data Source=$Workbook$;Location=&quot;153263965844_01&quot;;Extended Properties=&quot;&quot;" commandType="0"/>
  </connection>
  <connection id="711" xr16:uid="{B0F57F48-170D-48F7-A704-CF64ADFD4F52}" keepAlive="1" name="Connection520" type="5" refreshedVersion="0" background="1">
    <dbPr connection="Provider=Microsoft.Mashup.OleDb.1;Data Source=$Workbook$;Location=&quot;426659462400_04&quot;;Extended Properties=&quot;&quot;" commandType="0"/>
  </connection>
  <connection id="712" xr16:uid="{4565E954-6C61-426F-9474-DA74C1CDB141}" keepAlive="1" name="Connection521" type="5" refreshedVersion="0" background="1">
    <dbPr connection="Provider=Microsoft.Mashup.OleDb.1;Data Source=$Workbook$;Location=&quot;487128206815_04&quot;;Extended Properties=&quot;&quot;" commandType="0"/>
  </connection>
  <connection id="713" xr16:uid="{EAB0B3F0-3D44-4B2A-870D-DFE98188BAD3}" keepAlive="1" name="Connection522" type="5" refreshedVersion="0" background="1">
    <dbPr connection="Provider=Microsoft.Mashup.OleDb.1;Data Source=$Workbook$;Location=&quot;114853710678_04&quot;;Extended Properties=&quot;&quot;" commandType="0"/>
  </connection>
  <connection id="714" xr16:uid="{286E868A-2D11-4261-8428-1561D1C9F159}" keepAlive="1" name="Connection523" type="5" refreshedVersion="0" background="1">
    <dbPr connection="Provider=Microsoft.Mashup.OleDb.1;Data Source=$Workbook$;Location=&quot;430178596541_04&quot;;Extended Properties=&quot;&quot;" commandType="0"/>
  </connection>
  <connection id="715" xr16:uid="{5D923BDA-B869-404C-9A86-2842FF6B9CCF}" keepAlive="1" name="Connection524" type="5" refreshedVersion="0" background="1">
    <dbPr connection="Provider=Microsoft.Mashup.OleDb.1;Data Source=$Workbook$;Location=&quot;476598306910_04&quot;;Extended Properties=&quot;&quot;" commandType="0"/>
  </connection>
  <connection id="716" xr16:uid="{444B3D91-EF2E-4A19-A03E-1F0BA6C67F45}" keepAlive="1" name="Connection525" type="5" refreshedVersion="0" background="1">
    <dbPr connection="Provider=Microsoft.Mashup.OleDb.1;Data Source=$Workbook$;Location=&quot;512604732006677_04&quot;;Extended Properties=&quot;&quot;" commandType="0"/>
  </connection>
  <connection id="717" xr16:uid="{6E53571B-AD22-48FA-921D-45FA5CF82E2A}" keepAlive="1" name="Connection526" type="5" refreshedVersion="0" background="1">
    <dbPr connection="Provider=Microsoft.Mashup.OleDb.1;Data Source=$Workbook$;Location=&quot;789788899156_04&quot;;Extended Properties=&quot;&quot;" commandType="0"/>
  </connection>
  <connection id="718" xr16:uid="{2A1D1534-A70B-456D-B4B7-0175E058B262}" keepAlive="1" name="Connection527" type="5" refreshedVersion="0" background="1">
    <dbPr connection="Provider=Microsoft.Mashup.OleDb.1;Data Source=$Workbook$;Location=&quot;102152934476_04&quot;;Extended Properties=&quot;&quot;" commandType="0"/>
  </connection>
  <connection id="719" xr16:uid="{2162F847-22AC-40D7-97F8-0CF128EA4147}" keepAlive="1" name="Connection528" type="5" refreshedVersion="0" background="1">
    <dbPr connection="Provider=Microsoft.Mashup.OleDb.1;Data Source=$Workbook$;Location=&quot;789450639304_04&quot;;Extended Properties=&quot;&quot;" commandType="0"/>
  </connection>
  <connection id="720" xr16:uid="{39E56790-279A-426D-8A99-A1519C5666E2}" keepAlive="1" name="Connection529" type="5" refreshedVersion="0" background="1">
    <dbPr connection="Provider=Microsoft.Mashup.OleDb.1;Data Source=$Workbook$;Location=&quot;789492943850_04&quot;;Extended Properties=&quot;&quot;" commandType="0"/>
  </connection>
  <connection id="721" xr16:uid="{053FC71E-83D9-40B4-8C7E-D1FFBC475776}" keepAlive="1" name="Connection53" type="5" refreshedVersion="0" background="1">
    <dbPr connection="Provider=Microsoft.Mashup.OleDb.1;Data Source=$Workbook$;Location=&quot;153263965844_04&quot;;Extended Properties=&quot;&quot;" commandType="0"/>
  </connection>
  <connection id="722" xr16:uid="{81CC1934-8799-4139-B24C-F66906F8E363}" keepAlive="1" name="Connection530" type="5" refreshedVersion="0" background="1">
    <dbPr connection="Provider=Microsoft.Mashup.OleDb.1;Data Source=$Workbook$;Location=&quot;789764431910_04&quot;;Extended Properties=&quot;&quot;" commandType="0"/>
  </connection>
  <connection id="723" xr16:uid="{C5A52543-FE4E-4573-AB02-544B36006CDA}" keepAlive="1" name="Connection531" type="5" refreshedVersion="0" background="1">
    <dbPr connection="Provider=Microsoft.Mashup.OleDb.1;Data Source=$Workbook$;Location=&quot;789795598256_04&quot;;Extended Properties=&quot;&quot;" commandType="0"/>
  </connection>
  <connection id="724" xr16:uid="{4EAC537E-0E99-4323-BF75-5035352992A9}" keepAlive="1" name="Connection532" type="5" refreshedVersion="0" background="1">
    <dbPr connection="Provider=Microsoft.Mashup.OleDb.1;Data Source=$Workbook$;Location=&quot;120492848220_04&quot;;Extended Properties=&quot;&quot;" commandType="0"/>
  </connection>
  <connection id="725" xr16:uid="{1950594E-C143-4401-AF9D-C6CFA2997377}" keepAlive="1" name="Connection533" type="5" refreshedVersion="0" background="1">
    <dbPr connection="Provider=Microsoft.Mashup.OleDb.1;Data Source=$Workbook$;Location=&quot;745379319462769_04&quot;;Extended Properties=&quot;&quot;" commandType="0"/>
  </connection>
  <connection id="726" xr16:uid="{DB9DF17F-52AB-4888-874D-2EDE33249BAC}" keepAlive="1" name="Connection534" type="5" refreshedVersion="0" background="1">
    <dbPr connection="Provider=Microsoft.Mashup.OleDb.1;Data Source=$Workbook$;Location=&quot;789579504971_04&quot;;Extended Properties=&quot;&quot;" commandType="0"/>
  </connection>
  <connection id="727" xr16:uid="{BAE9EDD0-091F-412E-87D9-F7F086262514}" keepAlive="1" name="Connection535" type="5" refreshedVersion="0" background="1">
    <dbPr connection="Provider=Microsoft.Mashup.OleDb.1;Data Source=$Workbook$;Location=&quot;789666028990_04&quot;;Extended Properties=&quot;&quot;" commandType="0"/>
  </connection>
  <connection id="728" xr16:uid="{28E63312-B39F-4CA9-AEA6-99359CA58E26}" keepAlive="1" name="Connection536" type="5" refreshedVersion="0" background="1">
    <dbPr connection="Provider=Microsoft.Mashup.OleDb.1;Data Source=$Workbook$;Location=&quot;788926178171_04&quot;;Extended Properties=&quot;&quot;" commandType="0"/>
  </connection>
  <connection id="729" xr16:uid="{9493C72D-B17F-4C2A-AA3F-6077B0F4EF13}" keepAlive="1" name="Connection537" type="5" refreshedVersion="0" background="1">
    <dbPr connection="Provider=Microsoft.Mashup.OleDb.1;Data Source=$Workbook$;Location=&quot;490825658327_04&quot;;Extended Properties=&quot;&quot;" commandType="0"/>
  </connection>
  <connection id="730" xr16:uid="{891BA58F-EDF7-4517-9E21-2F7AC9725A27}" keepAlive="1" name="Connection538" type="5" refreshedVersion="0" background="1">
    <dbPr connection="Provider=Microsoft.Mashup.OleDb.1;Data Source=$Workbook$;Location=&quot;789479434898_04&quot;;Extended Properties=&quot;&quot;" commandType="0"/>
  </connection>
  <connection id="731" xr16:uid="{ABCCAC5F-630F-4023-B894-2957F78B93DB}" keepAlive="1" name="Connection539" type="5" refreshedVersion="0" background="1">
    <dbPr connection="Provider=Microsoft.Mashup.OleDb.1;Data Source=$Workbook$;Location=&quot;046361171252837_04&quot;;Extended Properties=&quot;&quot;" commandType="0"/>
  </connection>
  <connection id="732" xr16:uid="{68F4F659-B5D3-4E12-A8BB-4098E5B54017}" keepAlive="1" name="Connection54" type="5" refreshedVersion="0" saveData="1">
    <dbPr connection="Provider=Microsoft.Mashup.OleDb.1;Data Source=$Workbook$;Location=&quot;391309290024_01&quot;;Extended Properties=&quot;&quot;" commandType="0"/>
  </connection>
  <connection id="733" xr16:uid="{37364F2C-61A1-4D83-9D36-77E6DAF294E3}" keepAlive="1" name="Connection540" type="5" refreshedVersion="0" background="1">
    <dbPr connection="Provider=Microsoft.Mashup.OleDb.1;Data Source=$Workbook$;Location=&quot;111100810348_04&quot;;Extended Properties=&quot;&quot;" commandType="0"/>
  </connection>
  <connection id="734" xr16:uid="{E061E492-8117-4646-89D1-F77C7921495E}" keepAlive="1" name="Connection541" type="5" refreshedVersion="0" background="1">
    <dbPr connection="Provider=Microsoft.Mashup.OleDb.1;Data Source=$Workbook$;Location=&quot;789175562176_04&quot;;Extended Properties=&quot;&quot;" commandType="0"/>
  </connection>
  <connection id="735" xr16:uid="{561DDF60-BE8D-442B-B3FF-D0C20AF7E5B8}" keepAlive="1" name="Connection542" type="5" refreshedVersion="0" background="1">
    <dbPr connection="Provider=Microsoft.Mashup.OleDb.1;Data Source=$Workbook$;Location=&quot;789414845421_04&quot;;Extended Properties=&quot;&quot;" commandType="0"/>
  </connection>
  <connection id="736" xr16:uid="{4AF2686F-ACD3-4806-BF2F-0798600FE47C}" keepAlive="1" name="Connection543" type="5" refreshedVersion="0" background="1">
    <dbPr connection="Provider=Microsoft.Mashup.OleDb.1;Data Source=$Workbook$;Location=&quot;789472888184_04&quot;;Extended Properties=&quot;&quot;" commandType="0"/>
  </connection>
  <connection id="737" xr16:uid="{0CCBA0BC-86A2-4BD2-949A-0EF64DDA7E49}" keepAlive="1" name="Connection544" type="5" refreshedVersion="0" background="1">
    <dbPr connection="Provider=Microsoft.Mashup.OleDb.1;Data Source=$Workbook$;Location=&quot;789494441890_04&quot;;Extended Properties=&quot;&quot;" commandType="0"/>
  </connection>
  <connection id="738" xr16:uid="{1D38A1A9-AD8B-4024-972A-8B055E9EF4C9}" keepAlive="1" name="Connection545" type="5" refreshedVersion="0" background="1">
    <dbPr connection="Provider=Microsoft.Mashup.OleDb.1;Data Source=$Workbook$;Location=&quot;789538635252_04&quot;;Extended Properties=&quot;&quot;" commandType="0"/>
  </connection>
  <connection id="739" xr16:uid="{A9945BD3-4C36-4425-8553-58C51E90CFDA}" keepAlive="1" name="Connection546" type="5" refreshedVersion="0" background="1">
    <dbPr connection="Provider=Microsoft.Mashup.OleDb.1;Data Source=$Workbook$;Location=&quot;115734160089_04&quot;;Extended Properties=&quot;&quot;" commandType="0"/>
  </connection>
  <connection id="740" xr16:uid="{D8F4D04B-1CEC-42EF-BCA3-26E0FCA8B4A6}" keepAlive="1" name="Connection547" type="5" refreshedVersion="0" background="1">
    <dbPr connection="Provider=Microsoft.Mashup.OleDb.1;Data Source=$Workbook$;Location=&quot;490825659595_04&quot;;Extended Properties=&quot;&quot;" commandType="0"/>
  </connection>
  <connection id="741" xr16:uid="{B5703056-4197-4449-9FD8-1388B18DB529}" keepAlive="1" name="Connection548" type="5" refreshedVersion="0" background="1">
    <dbPr connection="Provider=Microsoft.Mashup.OleDb.1;Data Source=$Workbook$;Location=&quot;082178015438195_04&quot;;Extended Properties=&quot;&quot;" commandType="0"/>
  </connection>
  <connection id="742" xr16:uid="{D1B7CEC6-87FB-4F25-B8EC-98EA44C3F433}" keepAlive="1" name="Connection549" type="5" refreshedVersion="0" background="1">
    <dbPr connection="Provider=Microsoft.Mashup.OleDb.1;Data Source=$Workbook$;Location=&quot;788841943809_04&quot;;Extended Properties=&quot;&quot;" commandType="0"/>
  </connection>
  <connection id="743" xr16:uid="{E2374146-C01C-46C3-A407-B2ABA9553FA0}" keepAlive="1" name="Connection55" type="5" refreshedVersion="0" background="1">
    <dbPr connection="Provider=Microsoft.Mashup.OleDb.1;Data Source=$Workbook$;Location=&quot;391309290024_04&quot;;Extended Properties=&quot;&quot;" commandType="0"/>
  </connection>
  <connection id="744" xr16:uid="{5DA9A74C-164E-4A55-8EB5-55A741E9D6FB}" keepAlive="1" name="Connection550" type="5" refreshedVersion="0" background="1">
    <dbPr connection="Provider=Microsoft.Mashup.OleDb.1;Data Source=$Workbook$;Location=&quot;787196493443_04&quot;;Extended Properties=&quot;&quot;" commandType="0"/>
  </connection>
  <connection id="745" xr16:uid="{4875BC0C-C3D4-4449-8FE2-448B988CDE89}" keepAlive="1" name="Connection551" type="5" refreshedVersion="0" background="1">
    <dbPr connection="Provider=Microsoft.Mashup.OleDb.1;Data Source=$Workbook$;Location=&quot;788781848279_04&quot;;Extended Properties=&quot;&quot;" commandType="0"/>
  </connection>
  <connection id="746" xr16:uid="{C41FCA62-7204-4CFB-B23F-8A162F09CBCF}" keepAlive="1" name="Connection552" type="5" refreshedVersion="0" background="1">
    <dbPr connection="Provider=Microsoft.Mashup.OleDb.1;Data Source=$Workbook$;Location=&quot;788965499197_04&quot;;Extended Properties=&quot;&quot;" commandType="0"/>
  </connection>
  <connection id="747" xr16:uid="{810521B6-8AA5-466C-ACB0-4EBA8EC4EB90}" keepAlive="1" name="Connection553" type="5" refreshedVersion="0" background="1">
    <dbPr connection="Provider=Microsoft.Mashup.OleDb.1;Data Source=$Workbook$;Location=&quot;789140025585_04&quot;;Extended Properties=&quot;&quot;" commandType="0"/>
  </connection>
  <connection id="748" xr16:uid="{C651E940-905C-4AA0-9931-7194625D9AB8}" keepAlive="1" name="Connection554" type="5" refreshedVersion="0" background="1">
    <dbPr connection="Provider=Microsoft.Mashup.OleDb.1;Data Source=$Workbook$;Location=&quot;789206241492_04&quot;;Extended Properties=&quot;&quot;" commandType="0"/>
  </connection>
  <connection id="749" xr16:uid="{39093BF0-0FDE-4039-8EC4-DDFC75A1CEA7}" keepAlive="1" name="Connection555" type="5" refreshedVersion="0" background="1">
    <dbPr connection="Provider=Microsoft.Mashup.OleDb.1;Data Source=$Workbook$;Location=&quot;789295993067_04&quot;;Extended Properties=&quot;&quot;" commandType="0"/>
  </connection>
  <connection id="750" xr16:uid="{94FBA5AF-B4E2-4139-AF2E-01A20A5DA442}" keepAlive="1" name="Connection556" type="5" refreshedVersion="0" background="1">
    <dbPr connection="Provider=Microsoft.Mashup.OleDb.1;Data Source=$Workbook$;Location=&quot;900252510004264_04&quot;;Extended Properties=&quot;&quot;" commandType="0"/>
  </connection>
  <connection id="751" xr16:uid="{A445075C-5991-4D40-B40B-F5CF6655A3CD}" keepAlive="1" name="Connection557" type="5" refreshedVersion="0" background="1">
    <dbPr connection="Provider=Microsoft.Mashup.OleDb.1;Data Source=$Workbook$;Location=&quot;117608586873_04&quot;;Extended Properties=&quot;&quot;" commandType="0"/>
  </connection>
  <connection id="752" xr16:uid="{DE21DF64-626B-4FCF-9F71-7390B9900D89}" keepAlive="1" name="Connection558" type="5" refreshedVersion="0" background="1">
    <dbPr connection="Provider=Microsoft.Mashup.OleDb.1;Data Source=$Workbook$;Location=&quot;475653804842_04&quot;;Extended Properties=&quot;&quot;" commandType="0"/>
  </connection>
  <connection id="753" xr16:uid="{374779DE-6184-4D23-9C17-DEEC9ABD3342}" keepAlive="1" name="Connection559" type="5" refreshedVersion="0" background="1">
    <dbPr connection="Provider=Microsoft.Mashup.OleDb.1;Data Source=$Workbook$;Location=&quot;788361747575_04&quot;;Extended Properties=&quot;&quot;" commandType="0"/>
  </connection>
  <connection id="754" xr16:uid="{84E6E19C-5BD2-4488-B4FD-17D13C8C1D66}" keepAlive="1" name="Connection56" type="5" refreshedVersion="0" background="1">
    <dbPr connection="Provider=Microsoft.Mashup.OleDb.1;Data Source=$Workbook$;Location=&quot;391174969303_01&quot;;Extended Properties=&quot;&quot;" commandType="0"/>
  </connection>
  <connection id="755" xr16:uid="{D683B936-C67C-4BEC-B815-7142F2BD85A0}" keepAlive="1" name="Connection560" type="5" refreshedVersion="0" background="1">
    <dbPr connection="Provider=Microsoft.Mashup.OleDb.1;Data Source=$Workbook$;Location=&quot;788800344533_04&quot;;Extended Properties=&quot;&quot;" commandType="0"/>
  </connection>
  <connection id="756" xr16:uid="{F017A025-57CF-470B-B6E7-399BDF2EC75A}" keepAlive="1" name="Connection561" type="5" refreshedVersion="0" background="1">
    <dbPr connection="Provider=Microsoft.Mashup.OleDb.1;Data Source=$Workbook$;Location=&quot;775813951417_04&quot;;Extended Properties=&quot;&quot;" commandType="0"/>
  </connection>
  <connection id="757" xr16:uid="{35E8572E-8575-4705-8A41-2127C04373AB}" keepAlive="1" name="Connection562" type="5" refreshedVersion="0" background="1">
    <dbPr connection="Provider=Microsoft.Mashup.OleDb.1;Data Source=$Workbook$;Location=&quot;107438952920_04&quot;;Extended Properties=&quot;&quot;" commandType="0"/>
  </connection>
  <connection id="758" xr16:uid="{7A98D671-1A77-4545-8733-6B4A40054B71}" keepAlive="1" name="Connection563" type="5" refreshedVersion="0" background="1">
    <dbPr connection="Provider=Microsoft.Mashup.OleDb.1;Data Source=$Workbook$;Location=&quot;014107316912560_04&quot;;Extended Properties=&quot;&quot;" commandType="0"/>
  </connection>
  <connection id="759" xr16:uid="{07A9A885-A6A0-4E82-A453-65BE8A072408}" keepAlive="1" name="Connection564" type="5" refreshedVersion="0" background="1">
    <dbPr connection="Provider=Microsoft.Mashup.OleDb.1;Data Source=$Workbook$;Location=&quot;103765295298_04&quot;;Extended Properties=&quot;&quot;" commandType="0"/>
  </connection>
  <connection id="760" xr16:uid="{4AEC7B92-FDB9-40F7-BB2A-CD83C4EFA44B}" keepAlive="1" name="Connection565" type="5" refreshedVersion="0" background="1">
    <dbPr connection="Provider=Microsoft.Mashup.OleDb.1;Data Source=$Workbook$;Location=&quot;788609720300_04&quot;;Extended Properties=&quot;&quot;" commandType="0"/>
  </connection>
  <connection id="761" xr16:uid="{D7698DEC-CE87-4302-8513-406CE95258F7}" keepAlive="1" name="Connection566" type="5" refreshedVersion="0" background="1">
    <dbPr connection="Provider=Microsoft.Mashup.OleDb.1;Data Source=$Workbook$;Location=&quot;103001161724_04&quot;;Extended Properties=&quot;&quot;" commandType="0"/>
  </connection>
  <connection id="762" xr16:uid="{6DFFADCE-B2B0-4D36-AA27-921FD76342FF}" keepAlive="1" name="Connection567" type="5" refreshedVersion="0" background="1">
    <dbPr connection="Provider=Microsoft.Mashup.OleDb.1;Data Source=$Workbook$;Location=&quot;107888835714_04&quot;;Extended Properties=&quot;&quot;" commandType="0"/>
  </connection>
  <connection id="763" xr16:uid="{0A9297F0-E487-4F0F-935D-BBB8D9E25D01}" keepAlive="1" name="Connection568" type="5" refreshedVersion="0" background="1">
    <dbPr connection="Provider=Microsoft.Mashup.OleDb.1;Data Source=$Workbook$;Location=&quot;787504351812_04&quot;;Extended Properties=&quot;&quot;" commandType="0"/>
  </connection>
  <connection id="764" xr16:uid="{7A500E13-3742-4479-A26B-5E10B87B76F5}" keepAlive="1" name="Connection569" type="5" refreshedVersion="0" background="1">
    <dbPr connection="Provider=Microsoft.Mashup.OleDb.1;Data Source=$Workbook$;Location=&quot;787504368071_04&quot;;Extended Properties=&quot;&quot;" commandType="0"/>
  </connection>
  <connection id="765" xr16:uid="{62B7C96B-0223-4B85-B431-797F07A6B644}" keepAlive="1" name="Connection57" type="5" refreshedVersion="0" background="1">
    <dbPr connection="Provider=Microsoft.Mashup.OleDb.1;Data Source=$Workbook$;Location=&quot;391174969303_04&quot;;Extended Properties=&quot;&quot;" commandType="0"/>
  </connection>
  <connection id="766" xr16:uid="{172B064E-85D0-4436-8CA7-38B6D506908A}" keepAlive="1" name="Connection570" type="5" refreshedVersion="0" background="1">
    <dbPr connection="Provider=Microsoft.Mashup.OleDb.1;Data Source=$Workbook$;Location=&quot;476647671157_04&quot;;Extended Properties=&quot;&quot;" commandType="0"/>
  </connection>
  <connection id="767" xr16:uid="{B22A16DE-1DA2-4AF1-9ADE-A8C447058016}" keepAlive="1" name="Connection571" type="5" refreshedVersion="0" background="1">
    <dbPr connection="Provider=Microsoft.Mashup.OleDb.1;Data Source=$Workbook$;Location=&quot;788636757172_04&quot;;Extended Properties=&quot;&quot;" commandType="0"/>
  </connection>
  <connection id="768" xr16:uid="{7B1B56BC-79B0-4CED-9728-C4675ECD9DF7}" keepAlive="1" name="Connection572" type="5" refreshedVersion="0" background="1">
    <dbPr connection="Provider=Microsoft.Mashup.OleDb.1;Data Source=$Workbook$;Location=&quot;111926336666_04&quot;;Extended Properties=&quot;&quot;" commandType="0"/>
  </connection>
  <connection id="769" xr16:uid="{C468630F-D2AD-4E38-9F3F-BDCC0C345D6E}" keepAlive="1" name="Connection573" type="5" refreshedVersion="0" background="1">
    <dbPr connection="Provider=Microsoft.Mashup.OleDb.1;Data Source=$Workbook$;Location=&quot;491471232310_04&quot;;Extended Properties=&quot;&quot;" commandType="0"/>
  </connection>
  <connection id="770" xr16:uid="{9E66ADF8-D1A1-480C-A197-ADC773476E30}" keepAlive="1" name="Connection574" type="5" refreshedVersion="0" background="1">
    <dbPr connection="Provider=Microsoft.Mashup.OleDb.1;Data Source=$Workbook$;Location=&quot;495996950733_04&quot;;Extended Properties=&quot;&quot;" commandType="0"/>
  </connection>
  <connection id="771" xr16:uid="{8BDF9CBA-DD7C-483C-8E6B-773F02371EC1}" keepAlive="1" name="Connection575" type="5" refreshedVersion="0" background="1">
    <dbPr connection="Provider=Microsoft.Mashup.OleDb.1;Data Source=$Workbook$;Location=&quot;788434391352_04&quot;;Extended Properties=&quot;&quot;" commandType="0"/>
  </connection>
  <connection id="772" xr16:uid="{65684C79-3A25-45D9-81C9-E8E60B3CAFA5}" keepAlive="1" name="Connection576" type="5" refreshedVersion="0" background="1">
    <dbPr connection="Provider=Microsoft.Mashup.OleDb.1;Data Source=$Workbook$;Location=&quot;788637332510_04&quot;;Extended Properties=&quot;&quot;" commandType="0"/>
  </connection>
  <connection id="773" xr16:uid="{ED7E5642-B241-41C8-9446-186EEA0A8478}" keepAlive="1" name="Connection577" type="5" refreshedVersion="0" background="1">
    <dbPr connection="Provider=Microsoft.Mashup.OleDb.1;Data Source=$Workbook$;Location=&quot;495302421744_04&quot;;Extended Properties=&quot;&quot;" commandType="0"/>
  </connection>
  <connection id="774" xr16:uid="{9B6ABE14-7708-4C69-BBCF-F46E44A6EF73}" keepAlive="1" name="Connection578" type="5" refreshedVersion="0" background="1">
    <dbPr connection="Provider=Microsoft.Mashup.OleDb.1;Data Source=$Workbook$;Location=&quot;775648842007_04&quot;;Extended Properties=&quot;&quot;" commandType="0"/>
  </connection>
  <connection id="775" xr16:uid="{4E4CFD75-A6DC-4698-8B69-88D3A8D8C58B}" keepAlive="1" name="Connection579" type="5" refreshedVersion="0" background="1">
    <dbPr connection="Provider=Microsoft.Mashup.OleDb.1;Data Source=$Workbook$;Location=&quot;786761170656_04&quot;;Extended Properties=&quot;&quot;" commandType="0"/>
  </connection>
  <connection id="776" xr16:uid="{69B6698F-8698-4D21-8388-9B31DAF68C33}" keepAlive="1" name="Connection58" type="5" refreshedVersion="0" saveData="1">
    <dbPr connection="Provider=Microsoft.Mashup.OleDb.1;Data Source=$Workbook$;Location=&quot;123578321012_01&quot;;Extended Properties=&quot;&quot;" commandType="0"/>
  </connection>
  <connection id="777" xr16:uid="{A8277738-3522-4A96-9DAE-1A8686DD3F20}" keepAlive="1" name="Connection580" type="5" refreshedVersion="0" background="1">
    <dbPr connection="Provider=Microsoft.Mashup.OleDb.1;Data Source=$Workbook$;Location=&quot;787777249339_04&quot;;Extended Properties=&quot;&quot;" commandType="0"/>
  </connection>
  <connection id="778" xr16:uid="{2611F49B-08BE-4BB3-9959-F13F84C27814}" keepAlive="1" name="Connection581" type="5" refreshedVersion="0" background="1">
    <dbPr connection="Provider=Microsoft.Mashup.OleDb.1;Data Source=$Workbook$;Location=&quot;494213532396_04&quot;;Extended Properties=&quot;&quot;" commandType="0"/>
  </connection>
  <connection id="779" xr16:uid="{FBCB23D8-7CC4-42D0-8F1B-357231FB2DFF}" keepAlive="1" name="Connection582" type="5" refreshedVersion="0" background="1">
    <dbPr connection="Provider=Microsoft.Mashup.OleDb.1;Data Source=$Workbook$;Location=&quot;495770029407_04&quot;;Extended Properties=&quot;&quot;" commandType="0"/>
  </connection>
  <connection id="780" xr16:uid="{7CB2FBF6-BB0D-4632-A605-06BC35B64061}" keepAlive="1" name="Connection583" type="5" refreshedVersion="0" background="1">
    <dbPr connection="Provider=Microsoft.Mashup.OleDb.1;Data Source=$Workbook$;Location=&quot;788039075885_04&quot;;Extended Properties=&quot;&quot;" commandType="0"/>
  </connection>
  <connection id="781" xr16:uid="{696BB33E-2C78-4750-8FFB-DD4D361F7DBF}" keepAlive="1" name="Connection584" type="5" refreshedVersion="0" background="1">
    <dbPr connection="Provider=Microsoft.Mashup.OleDb.1;Data Source=$Workbook$;Location=&quot;103840423514_04&quot;;Extended Properties=&quot;&quot;" commandType="0"/>
  </connection>
  <connection id="782" xr16:uid="{BF727723-B810-40EB-9B7A-9D5F62DF105B}" keepAlive="1" name="Connection585" type="5" refreshedVersion="0" background="1">
    <dbPr connection="Provider=Microsoft.Mashup.OleDb.1;Data Source=$Workbook$;Location=&quot;298064011240889_04&quot;;Extended Properties=&quot;&quot;" commandType="0"/>
  </connection>
  <connection id="783" xr16:uid="{E1E64600-8E88-41FB-9CC5-ADCBBE585618}" keepAlive="1" name="Connection586" type="5" refreshedVersion="0" background="1">
    <dbPr connection="Provider=Microsoft.Mashup.OleDb.1;Data Source=$Workbook$;Location=&quot;475996336845_04&quot;;Extended Properties=&quot;&quot;" commandType="0"/>
  </connection>
  <connection id="784" xr16:uid="{FDD4B9D1-7B30-4E64-A868-4CBA2F5C01ED}" keepAlive="1" name="Connection587" type="5" refreshedVersion="0" background="1">
    <dbPr connection="Provider=Microsoft.Mashup.OleDb.1;Data Source=$Workbook$;Location=&quot;775246791260_04&quot;;Extended Properties=&quot;&quot;" commandType="0"/>
  </connection>
  <connection id="785" xr16:uid="{F469B853-92CF-4B50-A61C-7B2C5F9397BE}" keepAlive="1" name="Connection588" type="5" refreshedVersion="0" background="1">
    <dbPr connection="Provider=Microsoft.Mashup.OleDb.1;Data Source=$Workbook$;Location=&quot;787633690894_04&quot;;Extended Properties=&quot;&quot;" commandType="0"/>
  </connection>
  <connection id="786" xr16:uid="{AAE7A49F-7C62-48DF-81F2-BB85868201D0}" keepAlive="1" name="Connection589" type="5" refreshedVersion="0" background="1">
    <dbPr connection="Provider=Microsoft.Mashup.OleDb.1;Data Source=$Workbook$;Location=&quot;788072624033_04&quot;;Extended Properties=&quot;&quot;" commandType="0"/>
  </connection>
  <connection id="787" xr16:uid="{C919FC93-5042-4E02-AD83-20F330737FA5}" keepAlive="1" name="Connection59" type="5" refreshedVersion="0" background="1">
    <dbPr connection="Provider=Microsoft.Mashup.OleDb.1;Data Source=$Workbook$;Location=&quot;123578321012_04&quot;;Extended Properties=&quot;&quot;" commandType="0"/>
  </connection>
  <connection id="788" xr16:uid="{01FB0DB6-536A-4C73-AF27-F49C2DBF0D13}" keepAlive="1" name="Connection590" type="5" refreshedVersion="0" background="1">
    <dbPr connection="Provider=Microsoft.Mashup.OleDb.1;Data Source=$Workbook$;Location=&quot;788120802040_04&quot;;Extended Properties=&quot;&quot;" commandType="0"/>
  </connection>
  <connection id="789" xr16:uid="{71099F43-E221-4412-B6ED-D28B07422EFE}" keepAlive="1" name="Connection591" type="5" refreshedVersion="0" background="1">
    <dbPr connection="Provider=Microsoft.Mashup.OleDb.1;Data Source=$Workbook$;Location=&quot;458076458247_04&quot;;Extended Properties=&quot;&quot;" commandType="0"/>
  </connection>
  <connection id="790" xr16:uid="{E0F7D403-8445-4FF0-B0A4-20CA02C847E3}" keepAlive="1" name="Connection592" type="5" refreshedVersion="0" background="1">
    <dbPr connection="Provider=Microsoft.Mashup.OleDb.1;Data Source=$Workbook$;Location=&quot;103840422036_04&quot;;Extended Properties=&quot;&quot;" commandType="0"/>
  </connection>
  <connection id="791" xr16:uid="{B420219F-538D-467C-A611-5C6BCE846849}" keepAlive="1" name="Connection593" type="5" refreshedVersion="0" background="1">
    <dbPr connection="Provider=Microsoft.Mashup.OleDb.1;Data Source=$Workbook$;Location=&quot;787824425542_04&quot;;Extended Properties=&quot;&quot;" commandType="0"/>
  </connection>
  <connection id="792" xr16:uid="{A5E9CB72-B0A4-47A5-95B5-9CA1CB06A840}" keepAlive="1" name="Connection594" type="5" refreshedVersion="0" background="1">
    <dbPr connection="Provider=Microsoft.Mashup.OleDb.1;Data Source=$Workbook$;Location=&quot;102110045829_04&quot;;Extended Properties=&quot;&quot;" commandType="0"/>
  </connection>
  <connection id="793" xr16:uid="{C605FFA8-09FA-447A-A5C4-0614F523DC11}" keepAlive="1" name="Connection595" type="5" refreshedVersion="0" background="1">
    <dbPr connection="Provider=Microsoft.Mashup.OleDb.1;Data Source=$Workbook$;Location=&quot;471414857046_04&quot;;Extended Properties=&quot;&quot;" commandType="0"/>
  </connection>
  <connection id="794" xr16:uid="{85304971-919A-4FA1-ACC4-96AC38DEE911}" keepAlive="1" name="Connection596" type="5" refreshedVersion="0" background="1">
    <dbPr connection="Provider=Microsoft.Mashup.OleDb.1;Data Source=$Workbook$;Location=&quot;787719947685_04&quot;;Extended Properties=&quot;&quot;" commandType="0"/>
  </connection>
  <connection id="795" xr16:uid="{219829FC-BB81-4FF3-A6E7-611577142FE7}" keepAlive="1" name="Connection597" type="5" refreshedVersion="0" background="1">
    <dbPr connection="Provider=Microsoft.Mashup.OleDb.1;Data Source=$Workbook$;Location=&quot;984938392553589_04&quot;;Extended Properties=&quot;&quot;" commandType="0"/>
  </connection>
  <connection id="796" xr16:uid="{0386A62D-03CE-495F-B669-B047779C7A72}" keepAlive="1" name="Connection598" type="5" refreshedVersion="0" background="1">
    <dbPr connection="Provider=Microsoft.Mashup.OleDb.1;Data Source=$Workbook$;Location=&quot;493788950510_04&quot;;Extended Properties=&quot;&quot;" commandType="0"/>
  </connection>
  <connection id="797" xr16:uid="{36A154F4-B3FC-4E44-956D-46779957B124}" keepAlive="1" name="Connection599" type="5" refreshedVersion="0" background="1">
    <dbPr connection="Provider=Microsoft.Mashup.OleDb.1;Data Source=$Workbook$;Location=&quot;787666715713_04&quot;;Extended Properties=&quot;&quot;" commandType="0"/>
  </connection>
  <connection id="798" xr16:uid="{56A574EE-6B86-4E04-9EE0-6D52DDADC923}" keepAlive="1" name="Connection6" type="5" refreshedVersion="0" saveData="1">
    <dbPr connection="Provider=Microsoft.Mashup.OleDb.1;Data Source=$Workbook$;Location=&quot;391309290024&quot;;Extended Properties=&quot;&quot;" commandType="0"/>
  </connection>
  <connection id="799" xr16:uid="{D2388D4F-7A22-4488-B996-F515DDC8A85C}" keepAlive="1" name="Connection60" type="5" refreshedVersion="0" background="1">
    <dbPr connection="Provider=Microsoft.Mashup.OleDb.1;Data Source=$Workbook$;Location=&quot;123578321012_01&quot;;Extended Properties=&quot;&quot;" commandType="0"/>
  </connection>
  <connection id="800" xr16:uid="{ACD5FEB0-6B2C-436E-82F4-04925F08927B}" keepAlive="1" name="Connection600" type="5" refreshedVersion="0" background="1">
    <dbPr connection="Provider=Microsoft.Mashup.OleDb.1;Data Source=$Workbook$;Location=&quot;102127219351_04&quot;;Extended Properties=&quot;&quot;" commandType="0"/>
  </connection>
  <connection id="801" xr16:uid="{B58C8FE9-CEA0-4165-A1D6-ED5D7F782652}" keepAlive="1" name="Connection601" type="5" refreshedVersion="0" background="1">
    <dbPr connection="Provider=Microsoft.Mashup.OleDb.1;Data Source=$Workbook$;Location=&quot;105438556668_04&quot;;Extended Properties=&quot;&quot;" commandType="0"/>
  </connection>
  <connection id="802" xr16:uid="{25FD160A-762B-42CB-97CE-234BE8856D63}" keepAlive="1" name="Connection602" type="5" refreshedVersion="0" background="1">
    <dbPr connection="Provider=Microsoft.Mashup.OleDb.1;Data Source=$Workbook$;Location=&quot;470864886876_04&quot;;Extended Properties=&quot;&quot;" commandType="0"/>
  </connection>
  <connection id="803" xr16:uid="{3DECC314-B863-4D79-B83C-252B0D51BE53}" keepAlive="1" name="Connection603" type="5" refreshedVersion="0" background="1">
    <dbPr connection="Provider=Microsoft.Mashup.OleDb.1;Data Source=$Workbook$;Location=&quot;785187636170_04&quot;;Extended Properties=&quot;&quot;" commandType="0"/>
  </connection>
  <connection id="804" xr16:uid="{74F38094-06EB-4BDD-8A7D-42651EFDBCEE}" keepAlive="1" name="Connection604" type="5" refreshedVersion="0" background="1">
    <dbPr connection="Provider=Microsoft.Mashup.OleDb.1;Data Source=$Workbook$;Location=&quot;857135110699124_04&quot;;Extended Properties=&quot;&quot;" commandType="0"/>
  </connection>
  <connection id="805" xr16:uid="{7A572828-BA70-4ABB-9C4A-37C28EDDB8CF}" keepAlive="1" name="Connection605" type="5" refreshedVersion="0" background="1">
    <dbPr connection="Provider=Microsoft.Mashup.OleDb.1;Data Source=$Workbook$;Location=&quot;480697416177_04&quot;;Extended Properties=&quot;&quot;" commandType="0"/>
  </connection>
  <connection id="806" xr16:uid="{5A5F02BB-0F0C-4388-9349-FC7B97CC678C}" keepAlive="1" name="Connection606" type="5" refreshedVersion="0" background="1">
    <dbPr connection="Provider=Microsoft.Mashup.OleDb.1;Data Source=$Workbook$;Location=&quot;579287384765410_04&quot;;Extended Properties=&quot;&quot;" commandType="0"/>
  </connection>
  <connection id="807" xr16:uid="{5DE7E11F-2CB2-4DC3-93B5-94F60C1C15F7}" keepAlive="1" name="Connection607" type="5" refreshedVersion="0" background="1">
    <dbPr connection="Provider=Microsoft.Mashup.OleDb.1;Data Source=$Workbook$;Location=&quot;102317023412_04&quot;;Extended Properties=&quot;&quot;" commandType="0"/>
  </connection>
  <connection id="808" xr16:uid="{A393F996-FBFB-4AD3-9D13-37EEBD706C2F}" keepAlive="1" name="Connection608" type="5" refreshedVersion="0" background="1">
    <dbPr connection="Provider=Microsoft.Mashup.OleDb.1;Data Source=$Workbook$;Location=&quot;102317023434_04&quot;;Extended Properties=&quot;&quot;" commandType="0"/>
  </connection>
  <connection id="809" xr16:uid="{E1FF6FC1-A3F0-4CB6-82F8-BBB05D3B9B76}" keepAlive="1" name="Connection609" type="5" refreshedVersion="0" background="1">
    <dbPr connection="Provider=Microsoft.Mashup.OleDb.1;Data Source=$Workbook$;Location=&quot;179420715670951_04&quot;;Extended Properties=&quot;&quot;" commandType="0"/>
  </connection>
  <connection id="810" xr16:uid="{2C9E2968-E147-4CBA-AC81-3BE3D1BB54F8}" keepAlive="1" name="Connection61" type="5" refreshedVersion="0" background="1">
    <dbPr connection="Provider=Microsoft.Mashup.OleDb.1;Data Source=$Workbook$;Location=&quot;123578321012_04&quot;;Extended Properties=&quot;&quot;" commandType="0"/>
  </connection>
  <connection id="811" xr16:uid="{1C5607A4-9977-435D-A5B2-8F4A9978B507}" keepAlive="1" name="Connection610" type="5" refreshedVersion="0" background="1">
    <dbPr connection="Provider=Microsoft.Mashup.OleDb.1;Data Source=$Workbook$;Location=&quot;787081520272_04&quot;;Extended Properties=&quot;&quot;" commandType="0"/>
  </connection>
  <connection id="812" xr16:uid="{BC17EFBF-DF57-4257-A267-0B459CDC1F87}" keepAlive="1" name="Connection611" type="5" refreshedVersion="0" background="1">
    <dbPr connection="Provider=Microsoft.Mashup.OleDb.1;Data Source=$Workbook$;Location=&quot;787365183922_04&quot;;Extended Properties=&quot;&quot;" commandType="0"/>
  </connection>
  <connection id="813" xr16:uid="{E9F3F153-2C59-46E9-A67A-E1B4A7134ACA}" keepAlive="1" name="Connection612" type="5" refreshedVersion="0" saveData="1">
    <dbPr connection="Provider=Microsoft.Mashup.OleDb.1;Data Source=$Workbook$;Location=&quot;177056749305_04&quot;;Extended Properties=&quot;&quot;" commandType="0"/>
  </connection>
  <connection id="814" xr16:uid="{E3ADCEA8-55BE-42A2-B392-B4397F6E85CC}" keepAlive="1" name="Connection613" type="5" refreshedVersion="0" background="1">
    <dbPr connection="Provider=Microsoft.Mashup.OleDb.1;Data Source=$Workbook$;Location=&quot;393070604806_04&quot;;Extended Properties=&quot;&quot;" commandType="0"/>
  </connection>
  <connection id="815" xr16:uid="{4FDF8DFF-2865-4293-97C0-A7A32797D717}" keepAlive="1" name="Connection614" type="5" refreshedVersion="0" background="1">
    <dbPr connection="Provider=Microsoft.Mashup.OleDb.1;Data Source=$Workbook$;Location=&quot;393693697616_04&quot;;Extended Properties=&quot;&quot;" commandType="0"/>
  </connection>
  <connection id="816" xr16:uid="{50C488DF-6C5E-4A09-96A4-614088550550}" keepAlive="1" name="Connection615" type="5" refreshedVersion="0" background="1">
    <dbPr connection="Provider=Microsoft.Mashup.OleDb.1;Data Source=$Workbook$;Location=&quot;770517739493_04&quot;;Extended Properties=&quot;&quot;" commandType="0"/>
  </connection>
  <connection id="817" xr16:uid="{9A7EF194-8B63-4D64-B743-9B99367E0F5D}" keepAlive="1" name="Connection616" type="5" refreshedVersion="0" background="1">
    <dbPr connection="Provider=Microsoft.Mashup.OleDb.1;Data Source=$Workbook$;Location=&quot;770599184651_04&quot;;Extended Properties=&quot;&quot;" commandType="0"/>
  </connection>
  <connection id="818" xr16:uid="{C90D7409-9595-450F-9865-D4EFDEF88B33}" keepAlive="1" name="Connection617" type="5" refreshedVersion="0" background="1">
    <dbPr connection="Provider=Microsoft.Mashup.OleDb.1;Data Source=$Workbook$;Location=&quot;178776522610_04&quot;;Extended Properties=&quot;&quot;" commandType="0"/>
  </connection>
  <connection id="819" xr16:uid="{FF555E2E-5A18-49E8-8C68-D6E9144F9B94}" keepAlive="1" name="Connection618" type="5" refreshedVersion="0" background="1">
    <dbPr connection="Provider=Microsoft.Mashup.OleDb.1;Data Source=$Workbook$;Location=&quot;770567212009_04&quot;;Extended Properties=&quot;&quot;" commandType="0"/>
  </connection>
  <connection id="820" xr16:uid="{4B005944-EDBC-462A-BAA1-83505450230B}" keepAlive="1" name="Connection619" type="5" refreshedVersion="0" background="1">
    <dbPr connection="Provider=Microsoft.Mashup.OleDb.1;Data Source=$Workbook$;Location=&quot;174764929123_04&quot;;Extended Properties=&quot;&quot;" commandType="0"/>
  </connection>
  <connection id="821" xr16:uid="{70CE76E3-14D5-4CB5-A85B-0AA9FDFED854}" keepAlive="1" name="Connection62" type="5" refreshedVersion="0" background="1">
    <dbPr connection="Provider=Microsoft.Mashup.OleDb.1;Data Source=$Workbook$;Location=&quot;123578321012_01&quot;;Extended Properties=&quot;&quot;" commandType="0"/>
  </connection>
  <connection id="822" xr16:uid="{92043C9D-49C5-4362-B2E0-0F075076E014}" keepAlive="1" name="Connection620" type="5" refreshedVersion="0" background="1">
    <dbPr connection="Provider=Microsoft.Mashup.OleDb.1;Data Source=$Workbook$;Location=&quot;179460363201_04&quot;;Extended Properties=&quot;&quot;" commandType="0"/>
  </connection>
  <connection id="823" xr16:uid="{90A350CA-2F01-4CD1-8E1A-18F0B8FE9357}" keepAlive="1" name="Connection621" type="5" refreshedVersion="0" background="1">
    <dbPr connection="Provider=Microsoft.Mashup.OleDb.1;Data Source=$Workbook$;Location=&quot;393257556371_04&quot;;Extended Properties=&quot;&quot;" commandType="0"/>
  </connection>
  <connection id="824" xr16:uid="{CFC30CA6-3018-4ECB-A6C5-CB2696CADC67}" keepAlive="1" name="Connection622" type="5" refreshedVersion="0" background="1">
    <dbPr connection="Provider=Microsoft.Mashup.OleDb.1;Data Source=$Workbook$;Location=&quot;910964101556997_04&quot;;Extended Properties=&quot;&quot;" commandType="0"/>
  </connection>
  <connection id="825" xr16:uid="{4C525D71-4155-45F9-AB8A-216C802CA17B}" keepAlive="1" name="Connection623" type="5" refreshedVersion="0" background="1">
    <dbPr connection="Provider=Microsoft.Mashup.OleDb.1;Data Source=$Workbook$;Location=&quot;541625210362858_04&quot;;Extended Properties=&quot;&quot;" commandType="0"/>
  </connection>
  <connection id="826" xr16:uid="{DC2EAD23-0728-4B5E-AF9D-07B3B58419ED}" keepAlive="1" name="Connection624" type="5" refreshedVersion="0" background="1">
    <dbPr connection="Provider=Microsoft.Mashup.OleDb.1;Data Source=$Workbook$;Location=&quot;393521604363_04&quot;;Extended Properties=&quot;&quot;" commandType="0"/>
  </connection>
  <connection id="827" xr16:uid="{CAAAC11D-69F6-45B4-A778-693E1E95EA6A}" keepAlive="1" name="Connection625" type="5" refreshedVersion="0" background="1">
    <dbPr connection="Provider=Microsoft.Mashup.OleDb.1;Data Source=$Workbook$;Location=&quot;181448136120_04&quot;;Extended Properties=&quot;&quot;" commandType="0"/>
  </connection>
  <connection id="828" xr16:uid="{D08EDDB1-CFAD-4E91-B8AC-970068001158}" keepAlive="1" name="Connection626" type="5" refreshedVersion="0" background="1">
    <dbPr connection="Provider=Microsoft.Mashup.OleDb.1;Data Source=$Workbook$;Location=&quot;184450692101_04&quot;;Extended Properties=&quot;&quot;" commandType="0"/>
  </connection>
  <connection id="829" xr16:uid="{6719D321-6FFA-4116-AAD5-9DFE36C94429}" keepAlive="1" name="Connection627" type="5" refreshedVersion="0" background="1">
    <dbPr connection="Provider=Microsoft.Mashup.OleDb.1;Data Source=$Workbook$;Location=&quot;392425128466_04&quot;;Extended Properties=&quot;&quot;" commandType="0"/>
  </connection>
  <connection id="830" xr16:uid="{96165088-04EB-48D4-9A33-FF87829604DD}" keepAlive="1" name="Connection628" type="5" refreshedVersion="0" background="1">
    <dbPr connection="Provider=Microsoft.Mashup.OleDb.1;Data Source=$Workbook$;Location=&quot;393359434656_04&quot;;Extended Properties=&quot;&quot;" commandType="0"/>
  </connection>
  <connection id="831" xr16:uid="{EFA2EA7A-5972-438F-BB43-CD6FF1F47BCE}" keepAlive="1" name="Connection629" type="5" refreshedVersion="0" background="1">
    <dbPr connection="Provider=Microsoft.Mashup.OleDb.1;Data Source=$Workbook$;Location=&quot;393382267710_04&quot;;Extended Properties=&quot;&quot;" commandType="0"/>
  </connection>
  <connection id="832" xr16:uid="{B328DF3F-E3A7-48FD-AD76-0A2670A0294E}" keepAlive="1" name="Connection63" type="5" refreshedVersion="0" background="1">
    <dbPr connection="Provider=Microsoft.Mashup.OleDb.1;Data Source=$Workbook$;Location=&quot;123578321012_04&quot;;Extended Properties=&quot;&quot;" commandType="0"/>
  </connection>
  <connection id="833" xr16:uid="{4106CACA-0796-4B85-A9B6-F963D2638064}" keepAlive="1" name="Connection630" type="5" refreshedVersion="0" background="1">
    <dbPr connection="Provider=Microsoft.Mashup.OleDb.1;Data Source=$Workbook$;Location=&quot;463131313574041_04&quot;;Extended Properties=&quot;&quot;" commandType="0"/>
  </connection>
  <connection id="834" xr16:uid="{80B9796F-DA19-4FD3-AA18-28E642789367}" keepAlive="1" name="Connection631" type="5" refreshedVersion="0" background="1">
    <dbPr connection="Provider=Microsoft.Mashup.OleDb.1;Data Source=$Workbook$;Location=&quot;393081098925_04&quot;;Extended Properties=&quot;&quot;" commandType="0"/>
  </connection>
  <connection id="835" xr16:uid="{5CCFE60E-A140-406E-A9A9-4F045EB6AE3A}" keepAlive="1" name="Connection632" type="5" refreshedVersion="0" background="1">
    <dbPr connection="Provider=Microsoft.Mashup.OleDb.1;Data Source=$Workbook$;Location=&quot;152073081160095_04&quot;;Extended Properties=&quot;&quot;" commandType="0"/>
  </connection>
  <connection id="836" xr16:uid="{4D289DAF-6453-481E-8365-5262A0761041}" keepAlive="1" name="Connection633" type="5" refreshedVersion="0" background="1">
    <dbPr connection="Provider=Microsoft.Mashup.OleDb.1;Data Source=$Workbook$;Location=&quot;391765553761_04&quot;;Extended Properties=&quot;&quot;" commandType="0"/>
  </connection>
  <connection id="837" xr16:uid="{4E45E384-A8E6-4BB6-9293-68739CD18FFB}" keepAlive="1" name="Connection634" type="5" refreshedVersion="0" background="1">
    <dbPr connection="Provider=Microsoft.Mashup.OleDb.1;Data Source=$Workbook$;Location=&quot;392240995323_04&quot;;Extended Properties=&quot;&quot;" commandType="0"/>
  </connection>
  <connection id="838" xr16:uid="{839F8A3C-1A47-418E-A5A8-F53A707D162C}" keepAlive="1" name="Connection635" type="5" refreshedVersion="0" background="1">
    <dbPr connection="Provider=Microsoft.Mashup.OleDb.1;Data Source=$Workbook$;Location=&quot;392281600211_04&quot;;Extended Properties=&quot;&quot;" commandType="0"/>
  </connection>
  <connection id="839" xr16:uid="{C75AA3A6-EC15-4093-B814-025AEFABCA2B}" keepAlive="1" name="Connection636" type="5" refreshedVersion="0" background="1">
    <dbPr connection="Provider=Microsoft.Mashup.OleDb.1;Data Source=$Workbook$;Location=&quot;392955884141_04&quot;;Extended Properties=&quot;&quot;" commandType="0"/>
  </connection>
  <connection id="840" xr16:uid="{441142C7-F11A-48A5-911B-A144A57414A9}" keepAlive="1" name="Connection637" type="5" refreshedVersion="0" background="1">
    <dbPr connection="Provider=Microsoft.Mashup.OleDb.1;Data Source=$Workbook$;Location=&quot;393038813192_04&quot;;Extended Properties=&quot;&quot;" commandType="0"/>
  </connection>
  <connection id="841" xr16:uid="{FB1BB5C2-B3D1-46D3-B66B-637D052958C9}" keepAlive="1" name="Connection638" type="5" refreshedVersion="0" background="1">
    <dbPr connection="Provider=Microsoft.Mashup.OleDb.1;Data Source=$Workbook$;Location=&quot;128006906680_04&quot;;Extended Properties=&quot;&quot;" commandType="0"/>
  </connection>
  <connection id="842" xr16:uid="{1794DB17-BC3B-40CF-BF54-35E6717E54E8}" keepAlive="1" name="Connection639" type="5" refreshedVersion="0" background="1">
    <dbPr connection="Provider=Microsoft.Mashup.OleDb.1;Data Source=$Workbook$;Location=&quot;171853879544_04&quot;;Extended Properties=&quot;&quot;" commandType="0"/>
  </connection>
  <connection id="843" xr16:uid="{C34008B2-783E-4BC9-9565-19940ADC0ACD}" keepAlive="1" name="Connection64" type="5" refreshedVersion="0" background="1">
    <dbPr connection="Provider=Microsoft.Mashup.OleDb.1;Data Source=$Workbook$;Location=&quot;123578321012_01&quot;;Extended Properties=&quot;&quot;" commandType="0"/>
  </connection>
  <connection id="844" xr16:uid="{2A70CF2F-0EB6-457C-BADA-616C6FE72FEF}" keepAlive="1" name="Connection640" type="5" refreshedVersion="0" background="1">
    <dbPr connection="Provider=Microsoft.Mashup.OleDb.1;Data Source=$Workbook$;Location=&quot;173181468550_04&quot;;Extended Properties=&quot;&quot;" commandType="0"/>
  </connection>
  <connection id="845" xr16:uid="{32EF0A78-CB93-463E-B4D2-9D77B600FB82}" keepAlive="1" name="Connection641" type="5" refreshedVersion="0" background="1">
    <dbPr connection="Provider=Microsoft.Mashup.OleDb.1;Data Source=$Workbook$;Location=&quot;456152217992014_04&quot;;Extended Properties=&quot;&quot;" commandType="0"/>
  </connection>
  <connection id="846" xr16:uid="{475404A4-8B61-4E98-94C0-1329D263EDF3}" keepAlive="1" name="Connection642" type="5" refreshedVersion="0" background="1">
    <dbPr connection="Provider=Microsoft.Mashup.OleDb.1;Data Source=$Workbook$;Location=&quot;152232734811_04&quot;;Extended Properties=&quot;&quot;" commandType="0"/>
  </connection>
  <connection id="847" xr16:uid="{4E04BBC6-E58F-407B-8785-1F2FAA37B9F1}" keepAlive="1" name="Connection643" type="5" refreshedVersion="0" background="1">
    <dbPr connection="Provider=Microsoft.Mashup.OleDb.1;Data Source=$Workbook$;Location=&quot;392126295203_04&quot;;Extended Properties=&quot;&quot;" commandType="0"/>
  </connection>
  <connection id="848" xr16:uid="{2F74998C-A4C3-47B0-93C0-F00E50A4A62B}" keepAlive="1" name="Connection644" type="5" refreshedVersion="0" background="1">
    <dbPr connection="Provider=Microsoft.Mashup.OleDb.1;Data Source=$Workbook$;Location=&quot;391401090568_04&quot;;Extended Properties=&quot;&quot;" commandType="0"/>
  </connection>
  <connection id="849" xr16:uid="{7E63DA1C-F367-4BC4-B346-31A2001B3C8A}" keepAlive="1" name="Connection645" type="5" refreshedVersion="0" background="1">
    <dbPr connection="Provider=Microsoft.Mashup.OleDb.1;Data Source=$Workbook$;Location=&quot;392851907137_04&quot;;Extended Properties=&quot;&quot;" commandType="0"/>
  </connection>
  <connection id="850" xr16:uid="{3C066589-0E21-452F-9F50-71E18EBDA5BC}" keepAlive="1" name="Connection646" type="5" refreshedVersion="0" saveData="1">
    <dbPr connection="Provider=Microsoft.Mashup.OleDb.1;Data Source=$Workbook$;Location=&quot;WESTERN ROCKIES_01&quot;;Extended Properties=&quot;&quot;" commandType="0"/>
  </connection>
  <connection id="851" xr16:uid="{718359D6-ACEF-420F-A93B-2DD90796261E}" keepAlive="1" name="Connection647" type="5" refreshedVersion="0" background="1">
    <dbPr connection="Provider=Microsoft.Mashup.OleDb.1;Data Source=$Workbook$;Location=&quot;WESTERN ROCKIES_01&quot;;Extended Properties=&quot;&quot;" commandType="0"/>
  </connection>
  <connection id="852" xr16:uid="{1E60CAF7-6FE8-4550-92B5-13C4EBDADB1A}" keepAlive="1" name="Connection648" type="5" refreshedVersion="0" background="1">
    <dbPr connection="Provider=Microsoft.Mashup.OleDb.1;Data Source=$Workbook$;Location=&quot;WESTERN ROCKIES_01&quot;;Extended Properties=&quot;&quot;" commandType="0"/>
  </connection>
  <connection id="853" xr16:uid="{D61F8AD4-0BEB-4721-8E88-C1E16F4B6FA2}" keepAlive="1" name="Connection649" type="5" refreshedVersion="0" background="1">
    <dbPr connection="Provider=Microsoft.Mashup.OleDb.1;Data Source=$Workbook$;Location=&quot;WESTERN ROCKIES_01&quot;;Extended Properties=&quot;&quot;" commandType="0"/>
  </connection>
  <connection id="854" xr16:uid="{6BAC397B-87E8-49D3-8D23-9ADAB0CE57D4}" keepAlive="1" name="Connection65" type="5" refreshedVersion="0" background="1">
    <dbPr connection="Provider=Microsoft.Mashup.OleDb.1;Data Source=$Workbook$;Location=&quot;123578321012_04&quot;;Extended Properties=&quot;&quot;" commandType="0"/>
  </connection>
  <connection id="855" xr16:uid="{8778526D-40CC-467D-AE99-398117FB9B9F}" keepAlive="1" name="Connection650" type="5" refreshedVersion="0" background="1">
    <dbPr connection="Provider=Microsoft.Mashup.OleDb.1;Data Source=$Workbook$;Location=&quot;WESTERN ROCKIES_01&quot;;Extended Properties=&quot;&quot;" commandType="0"/>
  </connection>
  <connection id="856" xr16:uid="{FD251511-F3D0-4B04-83B8-0D4F6E25D201}" keepAlive="1" name="Connection651" type="5" refreshedVersion="0" background="1">
    <dbPr connection="Provider=Microsoft.Mashup.OleDb.1;Data Source=$Workbook$;Location=&quot;WESTERN ROCKIES_01&quot;;Extended Properties=&quot;&quot;" commandType="0"/>
  </connection>
  <connection id="857" xr16:uid="{0DD19DD2-02AF-4B7B-9E9F-8EB8E2525530}" keepAlive="1" name="Connection652" type="5" refreshedVersion="0" background="1">
    <dbPr connection="Provider=Microsoft.Mashup.OleDb.1;Data Source=$Workbook$;Location=&quot;WESTERN ROCKIES_01&quot;;Extended Properties=&quot;&quot;" commandType="0"/>
  </connection>
  <connection id="858" xr16:uid="{99972097-AF13-4F62-9A17-781E31F6BF5C}" keepAlive="1" name="Connection653" type="5" refreshedVersion="0" background="1">
    <dbPr connection="Provider=Microsoft.Mashup.OleDb.1;Data Source=$Workbook$;Location=&quot;WESTERN ROCKIES_01&quot;;Extended Properties=&quot;&quot;" commandType="0"/>
  </connection>
  <connection id="859" xr16:uid="{C2C34A2A-72CD-4705-B513-DB6E3F9E27D8}" keepAlive="1" name="Connection654" type="5" refreshedVersion="0" background="1">
    <dbPr connection="Provider=Microsoft.Mashup.OleDb.1;Data Source=$Workbook$;Location=&quot;WESTERN ROCKIES_01&quot;;Extended Properties=&quot;&quot;" commandType="0"/>
  </connection>
  <connection id="860" xr16:uid="{C99E0446-1798-43B1-8C4C-AF96D34AEFBF}" keepAlive="1" name="Connection655" type="5" refreshedVersion="0" background="1">
    <dbPr connection="Provider=Microsoft.Mashup.OleDb.1;Data Source=$Workbook$;Location=&quot;WESTERN ROCKIES_01&quot;;Extended Properties=&quot;&quot;" commandType="0"/>
  </connection>
  <connection id="861" xr16:uid="{878958BD-641C-4F88-8592-61E99F376560}" keepAlive="1" name="Connection656" type="5" refreshedVersion="0" background="1">
    <dbPr connection="Provider=Microsoft.Mashup.OleDb.1;Data Source=$Workbook$;Location=&quot;WESTERN ROCKIES_01&quot;;Extended Properties=&quot;&quot;" commandType="0"/>
  </connection>
  <connection id="862" xr16:uid="{FD072B75-2E92-454E-8591-288B1E71DF69}" keepAlive="1" name="Connection657" type="5" refreshedVersion="0" background="1">
    <dbPr connection="Provider=Microsoft.Mashup.OleDb.1;Data Source=$Workbook$;Location=&quot;WESTERN ROCKIES_01&quot;;Extended Properties=&quot;&quot;" commandType="0"/>
  </connection>
  <connection id="863" xr16:uid="{AB713943-FD71-40E7-904E-1548781301D8}" keepAlive="1" name="Connection658" type="5" refreshedVersion="0" background="1">
    <dbPr connection="Provider=Microsoft.Mashup.OleDb.1;Data Source=$Workbook$;Location=&quot;WESTERN ROCKIES_01&quot;;Extended Properties=&quot;&quot;" commandType="0"/>
  </connection>
  <connection id="864" xr16:uid="{488060F5-1D52-4FB9-8BF8-F44932ECC306}" keepAlive="1" name="Connection659" type="5" refreshedVersion="0" background="1">
    <dbPr connection="Provider=Microsoft.Mashup.OleDb.1;Data Source=$Workbook$;Location=&quot;WESTERN ROCKIES_01&quot;;Extended Properties=&quot;&quot;" commandType="0"/>
  </connection>
  <connection id="865" xr16:uid="{05B57661-0D15-4D6F-8571-F29AF5D0CC0B}" keepAlive="1" name="Connection66" type="5" refreshedVersion="0" background="1">
    <dbPr connection="Provider=Microsoft.Mashup.OleDb.1;Data Source=$Workbook$;Location=&quot;123578321012_01&quot;;Extended Properties=&quot;&quot;" commandType="0"/>
  </connection>
  <connection id="866" xr16:uid="{A9E6ED7C-D868-4B2B-A5CD-C32F7D46CE3C}" keepAlive="1" name="Connection660" type="5" refreshedVersion="0" background="1">
    <dbPr connection="Provider=Microsoft.Mashup.OleDb.1;Data Source=$Workbook$;Location=&quot;WESTERN ROCKIES_01&quot;;Extended Properties=&quot;&quot;" commandType="0"/>
  </connection>
  <connection id="867" xr16:uid="{F531F754-C5A8-4020-B4DE-C6E9AE045CEF}" keepAlive="1" name="Connection661" type="5" refreshedVersion="0" background="1">
    <dbPr connection="Provider=Microsoft.Mashup.OleDb.1;Data Source=$Workbook$;Location=&quot;WESTERN ROCKIES_01&quot;;Extended Properties=&quot;&quot;" commandType="0"/>
  </connection>
  <connection id="868" xr16:uid="{0ADC6695-2854-4516-BF8A-F41BE8EFF61D}" keepAlive="1" name="Connection662" type="5" refreshedVersion="0" background="1">
    <dbPr connection="Provider=Microsoft.Mashup.OleDb.1;Data Source=$Workbook$;Location=&quot;WESTERN ROCKIES_01&quot;;Extended Properties=&quot;&quot;" commandType="0"/>
  </connection>
  <connection id="869" xr16:uid="{50FDCF5D-E7F3-4C9D-920A-F7642B839E92}" keepAlive="1" name="Connection663" type="5" refreshedVersion="0" background="1">
    <dbPr connection="Provider=Microsoft.Mashup.OleDb.1;Data Source=$Workbook$;Location=&quot;WESTERN ROCKIES_01&quot;;Extended Properties=&quot;&quot;" commandType="0"/>
  </connection>
  <connection id="870" xr16:uid="{424219B7-EDCC-42FF-BEE7-9898940CBFB3}" keepAlive="1" name="Connection664" type="5" refreshedVersion="0" background="1">
    <dbPr connection="Provider=Microsoft.Mashup.OleDb.1;Data Source=$Workbook$;Location=&quot;WESTERN ROCKIES_01&quot;;Extended Properties=&quot;&quot;" commandType="0"/>
  </connection>
  <connection id="871" xr16:uid="{9262DDFF-124F-4B99-BE2E-C81C69102F17}" keepAlive="1" name="Connection665" type="5" refreshedVersion="0" background="1">
    <dbPr connection="Provider=Microsoft.Mashup.OleDb.1;Data Source=$Workbook$;Location=&quot;WESTERN ROCKIES_01&quot;;Extended Properties=&quot;&quot;" commandType="0"/>
  </connection>
  <connection id="872" xr16:uid="{22C2F17B-3E5D-4E99-8856-E11B31602499}" keepAlive="1" name="Connection666" type="5" refreshedVersion="0" background="1">
    <dbPr connection="Provider=Microsoft.Mashup.OleDb.1;Data Source=$Workbook$;Location=&quot;WESTERN ROCKIES_01&quot;;Extended Properties=&quot;&quot;" commandType="0"/>
  </connection>
  <connection id="873" xr16:uid="{2473408C-02CF-4A54-8180-9BA98D04BA85}" keepAlive="1" name="Connection667" type="5" refreshedVersion="0" background="1">
    <dbPr connection="Provider=Microsoft.Mashup.OleDb.1;Data Source=$Workbook$;Location=&quot;WESTERN ROCKIES_01&quot;;Extended Properties=&quot;&quot;" commandType="0"/>
  </connection>
  <connection id="874" xr16:uid="{754B68C9-F116-4552-88E8-0B9133B24EBB}" keepAlive="1" name="Connection668" type="5" refreshedVersion="0" background="1">
    <dbPr connection="Provider=Microsoft.Mashup.OleDb.1;Data Source=$Workbook$;Location=&quot;WESTERN ROCKIES_01&quot;;Extended Properties=&quot;&quot;" commandType="0"/>
  </connection>
  <connection id="875" xr16:uid="{52EFDD4C-0A4E-42CE-A51C-9C511003E205}" keepAlive="1" name="Connection669" type="5" refreshedVersion="0" background="1">
    <dbPr connection="Provider=Microsoft.Mashup.OleDb.1;Data Source=$Workbook$;Location=&quot;WESTERN ROCKIES_01&quot;;Extended Properties=&quot;&quot;" commandType="0"/>
  </connection>
  <connection id="876" xr16:uid="{F63DAC69-5038-49AC-B3B9-2B88C7AF1622}" keepAlive="1" name="Connection67" type="5" refreshedVersion="0" background="1">
    <dbPr connection="Provider=Microsoft.Mashup.OleDb.1;Data Source=$Workbook$;Location=&quot;123578321012_04&quot;;Extended Properties=&quot;&quot;" commandType="0"/>
  </connection>
  <connection id="877" xr16:uid="{8ABB4D1F-9DD7-42B2-BD42-CE7071C4370D}" keepAlive="1" name="Connection670" type="5" refreshedVersion="0" background="1">
    <dbPr connection="Provider=Microsoft.Mashup.OleDb.1;Data Source=$Workbook$;Location=&quot;WESTERN ROCKIES_01&quot;;Extended Properties=&quot;&quot;" commandType="0"/>
  </connection>
  <connection id="878" xr16:uid="{8FE83BD4-0929-4E49-AF70-8A4BD3D3F3B2}" keepAlive="1" name="Connection671" type="5" refreshedVersion="0" background="1">
    <dbPr connection="Provider=Microsoft.Mashup.OleDb.1;Data Source=$Workbook$;Location=&quot;WESTERN ROCKIES_01&quot;;Extended Properties=&quot;&quot;" commandType="0"/>
  </connection>
  <connection id="879" xr16:uid="{83767D3A-0933-4BB4-AAA2-F27C4D2D6730}" keepAlive="1" name="Connection672" type="5" refreshedVersion="0" background="1">
    <dbPr connection="Provider=Microsoft.Mashup.OleDb.1;Data Source=$Workbook$;Location=&quot;WESTERN ROCKIES_01&quot;;Extended Properties=&quot;&quot;" commandType="0"/>
  </connection>
  <connection id="880" xr16:uid="{61E6D977-54C0-4D7C-B74E-3B68E76301B5}" keepAlive="1" name="Connection673" type="5" refreshedVersion="0" background="1">
    <dbPr connection="Provider=Microsoft.Mashup.OleDb.1;Data Source=$Workbook$;Location=&quot;WESTERN ROCKIES_01&quot;;Extended Properties=&quot;&quot;" commandType="0"/>
  </connection>
  <connection id="881" xr16:uid="{301DBAD8-2E89-4898-8290-8EF2DEAD7FA5}" keepAlive="1" name="Connection674" type="5" refreshedVersion="0" background="1">
    <dbPr connection="Provider=Microsoft.Mashup.OleDb.1;Data Source=$Workbook$;Location=&quot;WESTERN ROCKIES_01&quot;;Extended Properties=&quot;&quot;" commandType="0"/>
  </connection>
  <connection id="882" xr16:uid="{CE6498CE-406F-471A-9D43-D9ACDB23EB4C}" keepAlive="1" name="Connection675" type="5" refreshedVersion="0" background="1">
    <dbPr connection="Provider=Microsoft.Mashup.OleDb.1;Data Source=$Workbook$;Location=&quot;WESTERN ROCKIES_01&quot;;Extended Properties=&quot;&quot;" commandType="0"/>
  </connection>
  <connection id="883" xr16:uid="{AE96A284-2159-41DF-A524-7A651949A843}" keepAlive="1" name="Connection676" type="5" refreshedVersion="0" background="1">
    <dbPr connection="Provider=Microsoft.Mashup.OleDb.1;Data Source=$Workbook$;Location=&quot;WESTERN ROCKIES_01&quot;;Extended Properties=&quot;&quot;" commandType="0"/>
  </connection>
  <connection id="884" xr16:uid="{8FEC910D-4B49-4D4E-AE98-F44152C15B35}" keepAlive="1" name="Connection677" type="5" refreshedVersion="0" background="1">
    <dbPr connection="Provider=Microsoft.Mashup.OleDb.1;Data Source=$Workbook$;Location=&quot;WESTERN ROCKIES_01&quot;;Extended Properties=&quot;&quot;" commandType="0"/>
  </connection>
  <connection id="885" xr16:uid="{275D588B-CCE3-4144-9CD7-7409425DD6A2}" keepAlive="1" name="Connection678" type="5" refreshedVersion="0" background="1">
    <dbPr connection="Provider=Microsoft.Mashup.OleDb.1;Data Source=$Workbook$;Location=&quot;WESTERN ROCKIES_01&quot;;Extended Properties=&quot;&quot;" commandType="0"/>
  </connection>
  <connection id="886" xr16:uid="{D707B7BF-3279-4DB0-AEF5-3B3966AEFDFC}" keepAlive="1" name="Connection679" type="5" refreshedVersion="0" background="1">
    <dbPr connection="Provider=Microsoft.Mashup.OleDb.1;Data Source=$Workbook$;Location=&quot;WESTERN ROCKIES_01&quot;;Extended Properties=&quot;&quot;" commandType="0"/>
  </connection>
  <connection id="887" xr16:uid="{E06204BB-AC46-45DA-AC06-7E3F8DFB84C9}" keepAlive="1" name="Connection68" type="5" refreshedVersion="0" background="1">
    <dbPr connection="Provider=Microsoft.Mashup.OleDb.1;Data Source=$Workbook$;Location=&quot;123578321012_01&quot;;Extended Properties=&quot;&quot;" commandType="0"/>
  </connection>
  <connection id="888" xr16:uid="{1685626C-A810-4711-A7A8-A916CAF5B649}" keepAlive="1" name="Connection680" type="5" refreshedVersion="0" background="1">
    <dbPr connection="Provider=Microsoft.Mashup.OleDb.1;Data Source=$Workbook$;Location=&quot;WESTERN ROCKIES_01&quot;;Extended Properties=&quot;&quot;" commandType="0"/>
  </connection>
  <connection id="889" xr16:uid="{CA4734B1-74CC-4965-A0D8-D12F07DC06A2}" keepAlive="1" name="Connection681" type="5" refreshedVersion="0" background="1">
    <dbPr connection="Provider=Microsoft.Mashup.OleDb.1;Data Source=$Workbook$;Location=&quot;WESTERN ROCKIES_01&quot;;Extended Properties=&quot;&quot;" commandType="0"/>
  </connection>
  <connection id="890" xr16:uid="{E0AB7124-82DA-4B47-B9B5-B82156294B1B}" keepAlive="1" name="Connection682" type="5" refreshedVersion="0" background="1">
    <dbPr connection="Provider=Microsoft.Mashup.OleDb.1;Data Source=$Workbook$;Location=&quot;WESTERN ROCKIES_01&quot;;Extended Properties=&quot;&quot;" commandType="0"/>
  </connection>
  <connection id="891" xr16:uid="{AD43D40D-592F-47FA-A865-5B20F3405DD9}" keepAlive="1" name="Connection683" type="5" refreshedVersion="0" background="1">
    <dbPr connection="Provider=Microsoft.Mashup.OleDb.1;Data Source=$Workbook$;Location=&quot;WESTERN ROCKIES_01&quot;;Extended Properties=&quot;&quot;" commandType="0"/>
  </connection>
  <connection id="892" xr16:uid="{D78ABD7F-D320-40DB-B1F2-82581A3D7C73}" keepAlive="1" name="Connection684" type="5" refreshedVersion="0" background="1">
    <dbPr connection="Provider=Microsoft.Mashup.OleDb.1;Data Source=$Workbook$;Location=&quot;WESTERN ROCKIES_01&quot;;Extended Properties=&quot;&quot;" commandType="0"/>
  </connection>
  <connection id="893" xr16:uid="{6BDDDA4D-E8B5-41EC-8829-B0CB47D4E70A}" keepAlive="1" name="Connection685" type="5" refreshedVersion="0" background="1">
    <dbPr connection="Provider=Microsoft.Mashup.OleDb.1;Data Source=$Workbook$;Location=&quot;WESTERN ROCKIES_01&quot;;Extended Properties=&quot;&quot;" commandType="0"/>
  </connection>
  <connection id="894" xr16:uid="{7907929A-DB3E-4797-9E48-9B8461A6AFCE}" keepAlive="1" name="Connection686" type="5" refreshedVersion="0" background="1">
    <dbPr connection="Provider=Microsoft.Mashup.OleDb.1;Data Source=$Workbook$;Location=&quot;WESTERN ROCKIES_01&quot;;Extended Properties=&quot;&quot;" commandType="0"/>
  </connection>
  <connection id="895" xr16:uid="{824A283E-B291-4544-B7B8-7D8C2D63F633}" keepAlive="1" name="Connection687" type="5" refreshedVersion="0" background="1">
    <dbPr connection="Provider=Microsoft.Mashup.OleDb.1;Data Source=$Workbook$;Location=&quot;WESTERN ROCKIES_01&quot;;Extended Properties=&quot;&quot;" commandType="0"/>
  </connection>
  <connection id="896" xr16:uid="{8211B622-AE82-4453-B3F7-8A2282D80595}" keepAlive="1" name="Connection688" type="5" refreshedVersion="0" background="1">
    <dbPr connection="Provider=Microsoft.Mashup.OleDb.1;Data Source=$Workbook$;Location=&quot;WESTERN ROCKIES_01&quot;;Extended Properties=&quot;&quot;" commandType="0"/>
  </connection>
  <connection id="897" xr16:uid="{275701E5-F109-46EB-B421-0CCE6A88F6BA}" keepAlive="1" name="Connection689" type="5" refreshedVersion="0" background="1">
    <dbPr connection="Provider=Microsoft.Mashup.OleDb.1;Data Source=$Workbook$;Location=&quot;WESTERN ROCKIES_01&quot;;Extended Properties=&quot;&quot;" commandType="0"/>
  </connection>
  <connection id="898" xr16:uid="{AF1783AB-FFA7-4CB9-A450-A802253A9FCE}" keepAlive="1" name="Connection69" type="5" refreshedVersion="0" background="1">
    <dbPr connection="Provider=Microsoft.Mashup.OleDb.1;Data Source=$Workbook$;Location=&quot;123578321012_04&quot;;Extended Properties=&quot;&quot;" commandType="0"/>
  </connection>
  <connection id="899" xr16:uid="{FF077B00-FBF3-4B42-A891-850F02B785E5}" keepAlive="1" name="Connection690" type="5" refreshedVersion="0" background="1">
    <dbPr connection="Provider=Microsoft.Mashup.OleDb.1;Data Source=$Workbook$;Location=&quot;WESTERN ROCKIES_01&quot;;Extended Properties=&quot;&quot;" commandType="0"/>
  </connection>
  <connection id="900" xr16:uid="{FD0DE1B5-866C-430A-B1F1-45F826F794EC}" keepAlive="1" name="Connection691" type="5" refreshedVersion="0" background="1">
    <dbPr connection="Provider=Microsoft.Mashup.OleDb.1;Data Source=$Workbook$;Location=&quot;WESTERN ROCKIES_01&quot;;Extended Properties=&quot;&quot;" commandType="0"/>
  </connection>
  <connection id="901" xr16:uid="{5248069D-13DF-4B66-95F6-F7B0E00D3B07}" keepAlive="1" name="Connection692" type="5" refreshedVersion="0" background="1">
    <dbPr connection="Provider=Microsoft.Mashup.OleDb.1;Data Source=$Workbook$;Location=&quot;WESTERN ROCKIES_01&quot;;Extended Properties=&quot;&quot;" commandType="0"/>
  </connection>
  <connection id="902" xr16:uid="{4CB6C57E-4275-4BF3-A255-35AAF4AEFD9A}" keepAlive="1" name="Connection693" type="5" refreshedVersion="0" background="1">
    <dbPr connection="Provider=Microsoft.Mashup.OleDb.1;Data Source=$Workbook$;Location=&quot;WESTERN ROCKIES_01&quot;;Extended Properties=&quot;&quot;" commandType="0"/>
  </connection>
  <connection id="903" xr16:uid="{F9130563-65A2-4E0F-8ED8-623EA40D4902}" keepAlive="1" name="Connection694" type="5" refreshedVersion="0" background="1">
    <dbPr connection="Provider=Microsoft.Mashup.OleDb.1;Data Source=$Workbook$;Location=&quot;WESTERN ROCKIES_01&quot;;Extended Properties=&quot;&quot;" commandType="0"/>
  </connection>
  <connection id="904" xr16:uid="{D073AE69-3AAE-4B83-BC92-173867187E2E}" keepAlive="1" name="Connection695" type="5" refreshedVersion="0" background="1">
    <dbPr connection="Provider=Microsoft.Mashup.OleDb.1;Data Source=$Workbook$;Location=&quot;WESTERN ROCKIES_01&quot;;Extended Properties=&quot;&quot;" commandType="0"/>
  </connection>
  <connection id="905" xr16:uid="{090DA330-BB34-4E16-BFAB-D06490FE54F7}" keepAlive="1" name="Connection696" type="5" refreshedVersion="0" background="1">
    <dbPr connection="Provider=Microsoft.Mashup.OleDb.1;Data Source=$Workbook$;Location=&quot;WESTERN ROCKIES_01&quot;;Extended Properties=&quot;&quot;" commandType="0"/>
  </connection>
  <connection id="906" xr16:uid="{DB4CADB3-A87C-4649-B10E-389BAD007A27}" keepAlive="1" name="Connection697" type="5" refreshedVersion="0" background="1">
    <dbPr connection="Provider=Microsoft.Mashup.OleDb.1;Data Source=$Workbook$;Location=&quot;WESTERN ROCKIES_01&quot;;Extended Properties=&quot;&quot;" commandType="0"/>
  </connection>
  <connection id="907" xr16:uid="{7DF4DCA8-CE5A-47DF-B801-7A81734A84C4}" keepAlive="1" name="Connection698" type="5" refreshedVersion="0" background="1">
    <dbPr connection="Provider=Microsoft.Mashup.OleDb.1;Data Source=$Workbook$;Location=&quot;WESTERN ROCKIES_01&quot;;Extended Properties=&quot;&quot;" commandType="0"/>
  </connection>
  <connection id="908" xr16:uid="{11CFC55B-F6E0-408C-B8F0-16185986BC10}" keepAlive="1" name="Connection699" type="5" refreshedVersion="0" background="1">
    <dbPr connection="Provider=Microsoft.Mashup.OleDb.1;Data Source=$Workbook$;Location=&quot;WESTERN ROCKIES_01&quot;;Extended Properties=&quot;&quot;" commandType="0"/>
  </connection>
  <connection id="909" xr16:uid="{82920C01-C098-4351-B46E-FFD5739F7C25}" keepAlive="1" name="Connection7" type="5" refreshedVersion="0" background="1">
    <dbPr connection="Provider=Microsoft.Mashup.OleDb.1;Data Source=$Workbook$;Location=&quot;153263965844&quot;;Extended Properties=&quot;&quot;" commandType="0"/>
  </connection>
  <connection id="910" xr16:uid="{CE48FD20-3163-4C22-B3D4-7D15EF374C7E}" keepAlive="1" name="Connection70" type="5" refreshedVersion="0" background="1">
    <dbPr connection="Provider=Microsoft.Mashup.OleDb.1;Data Source=$Workbook$;Location=&quot;123578321012_01&quot;;Extended Properties=&quot;&quot;" commandType="0"/>
  </connection>
  <connection id="911" xr16:uid="{25A35BE8-422B-4B32-8958-DB7D081761FE}" keepAlive="1" name="Connection700" type="5" refreshedVersion="0" background="1">
    <dbPr connection="Provider=Microsoft.Mashup.OleDb.1;Data Source=$Workbook$;Location=&quot;WESTERN ROCKIES_01&quot;;Extended Properties=&quot;&quot;" commandType="0"/>
  </connection>
  <connection id="912" xr16:uid="{C7444774-8A7F-423B-AFAF-BE30481D4668}" keepAlive="1" name="Connection701" type="5" refreshedVersion="0" background="1">
    <dbPr connection="Provider=Microsoft.Mashup.OleDb.1;Data Source=$Workbook$;Location=&quot;WESTERN ROCKIES_01&quot;;Extended Properties=&quot;&quot;" commandType="0"/>
  </connection>
  <connection id="913" xr16:uid="{14E79953-1206-46DF-8572-B295F2BA9FE2}" keepAlive="1" name="Connection702" type="5" refreshedVersion="0" background="1">
    <dbPr connection="Provider=Microsoft.Mashup.OleDb.1;Data Source=$Workbook$;Location=&quot;WESTERN ROCKIES_01&quot;;Extended Properties=&quot;&quot;" commandType="0"/>
  </connection>
  <connection id="914" xr16:uid="{8569A755-F6CC-418E-B8E1-4CA88540CA89}" keepAlive="1" name="Connection703" type="5" refreshedVersion="0" background="1">
    <dbPr connection="Provider=Microsoft.Mashup.OleDb.1;Data Source=$Workbook$;Location=&quot;WESTERN ROCKIES_01&quot;;Extended Properties=&quot;&quot;" commandType="0"/>
  </connection>
  <connection id="915" xr16:uid="{4E1832E0-5528-48BE-BB9E-886B9F2EDF5E}" keepAlive="1" name="Connection704" type="5" refreshedVersion="0" background="1">
    <dbPr connection="Provider=Microsoft.Mashup.OleDb.1;Data Source=$Workbook$;Location=&quot;WESTERN ROCKIES_01&quot;;Extended Properties=&quot;&quot;" commandType="0"/>
  </connection>
  <connection id="916" xr16:uid="{A6EF50A6-63E3-4E69-BCA2-2A9B7240E40D}" keepAlive="1" name="Connection705" type="5" refreshedVersion="0" background="1">
    <dbPr connection="Provider=Microsoft.Mashup.OleDb.1;Data Source=$Workbook$;Location=&quot;WESTERN ROCKIES_01&quot;;Extended Properties=&quot;&quot;" commandType="0"/>
  </connection>
  <connection id="917" xr16:uid="{731785B9-1F4C-480A-BB87-A2A974DBE584}" keepAlive="1" name="Connection706" type="5" refreshedVersion="0" background="1">
    <dbPr connection="Provider=Microsoft.Mashup.OleDb.1;Data Source=$Workbook$;Location=&quot;WESTERN ROCKIES_01&quot;;Extended Properties=&quot;&quot;" commandType="0"/>
  </connection>
  <connection id="918" xr16:uid="{F91D8185-D31E-40FC-9EC5-17679A0575E2}" keepAlive="1" name="Connection707" type="5" refreshedVersion="0" background="1">
    <dbPr connection="Provider=Microsoft.Mashup.OleDb.1;Data Source=$Workbook$;Location=&quot;WESTERN ROCKIES_01&quot;;Extended Properties=&quot;&quot;" commandType="0"/>
  </connection>
  <connection id="919" xr16:uid="{09CA84DC-4FC9-4D38-A51B-958612DB1866}" keepAlive="1" name="Connection708" type="5" refreshedVersion="0" background="1">
    <dbPr connection="Provider=Microsoft.Mashup.OleDb.1;Data Source=$Workbook$;Location=&quot;WESTERN ROCKIES_01&quot;;Extended Properties=&quot;&quot;" commandType="0"/>
  </connection>
  <connection id="920" xr16:uid="{67C25D65-8A2E-473D-9A12-3E8D8C5EF270}" keepAlive="1" name="Connection709" type="5" refreshedVersion="0" background="1">
    <dbPr connection="Provider=Microsoft.Mashup.OleDb.1;Data Source=$Workbook$;Location=&quot;WESTERN ROCKIES_01&quot;;Extended Properties=&quot;&quot;" commandType="0"/>
  </connection>
  <connection id="921" xr16:uid="{29C55750-BE44-443A-A104-CCFE42A3C348}" keepAlive="1" name="Connection71" type="5" refreshedVersion="0" background="1">
    <dbPr connection="Provider=Microsoft.Mashup.OleDb.1;Data Source=$Workbook$;Location=&quot;123578321012_04&quot;;Extended Properties=&quot;&quot;" commandType="0"/>
  </connection>
  <connection id="922" xr16:uid="{4BA7957F-C0FF-49B6-8C30-FAC6235A6C3D}" keepAlive="1" name="Connection710" type="5" refreshedVersion="0" background="1">
    <dbPr connection="Provider=Microsoft.Mashup.OleDb.1;Data Source=$Workbook$;Location=&quot;WESTERN ROCKIES_01&quot;;Extended Properties=&quot;&quot;" commandType="0"/>
  </connection>
  <connection id="923" xr16:uid="{1D4ADCBA-C11C-4E58-924E-EB8C6D0E156E}" keepAlive="1" name="Connection711" type="5" refreshedVersion="0" background="1">
    <dbPr connection="Provider=Microsoft.Mashup.OleDb.1;Data Source=$Workbook$;Location=&quot;WESTERN ROCKIES_01&quot;;Extended Properties=&quot;&quot;" commandType="0"/>
  </connection>
  <connection id="924" xr16:uid="{003BB0B4-BE12-458F-92E4-77FA207958A0}" keepAlive="1" name="Connection712" type="5" refreshedVersion="0" background="1">
    <dbPr connection="Provider=Microsoft.Mashup.OleDb.1;Data Source=$Workbook$;Location=&quot;WESTERN ROCKIES_01&quot;;Extended Properties=&quot;&quot;" commandType="0"/>
  </connection>
  <connection id="925" xr16:uid="{88D110BB-D6A7-4445-A217-7799B289D9BB}" keepAlive="1" name="Connection713" type="5" refreshedVersion="0" saveData="1">
    <dbPr connection="Provider=Microsoft.Mashup.OleDb.1;Data Source=$Workbook$;Location=&quot;WESTERN ROCKIES_01&quot;;Extended Properties=&quot;&quot;" commandType="0"/>
  </connection>
  <connection id="926" xr16:uid="{959606D9-C781-41A8-AC44-4D9730E6CD14}" keepAlive="1" name="Connection714" type="5" refreshedVersion="0" background="1">
    <dbPr connection="Provider=Microsoft.Mashup.OleDb.1;Data Source=$Workbook$;Location=&quot;WESTERN ROCKIES_01&quot;;Extended Properties=&quot;&quot;" commandType="0"/>
  </connection>
  <connection id="927" xr16:uid="{F1AC2A37-D727-4196-8940-B9575E4008E9}" keepAlive="1" name="Connection715" type="5" refreshedVersion="0" background="1">
    <dbPr connection="Provider=Microsoft.Mashup.OleDb.1;Data Source=$Workbook$;Location=&quot;WESTERN ROCKIES_01&quot;;Extended Properties=&quot;&quot;" commandType="0"/>
  </connection>
  <connection id="928" xr16:uid="{3FA46C39-391D-482D-8C36-1B449AE00BA6}" keepAlive="1" name="Connection716" type="5" refreshedVersion="0" background="1">
    <dbPr connection="Provider=Microsoft.Mashup.OleDb.1;Data Source=$Workbook$;Location=&quot;WESTERN ROCKIES_01&quot;;Extended Properties=&quot;&quot;" commandType="0"/>
  </connection>
  <connection id="929" xr16:uid="{0110CCAF-F6CC-47EF-880F-4DDFD343FD1F}" keepAlive="1" name="Connection717" type="5" refreshedVersion="0" background="1">
    <dbPr connection="Provider=Microsoft.Mashup.OleDb.1;Data Source=$Workbook$;Location=&quot;WESTERN ROCKIES_01&quot;;Extended Properties=&quot;&quot;" commandType="0"/>
  </connection>
  <connection id="930" xr16:uid="{B927E571-B6F6-40D7-A089-AC4F152701F7}" keepAlive="1" name="Connection718" type="5" refreshedVersion="0" background="1">
    <dbPr connection="Provider=Microsoft.Mashup.OleDb.1;Data Source=$Workbook$;Location=&quot;WESTERN ROCKIES_01&quot;;Extended Properties=&quot;&quot;" commandType="0"/>
  </connection>
  <connection id="931" xr16:uid="{9F1028A7-5E71-451E-A1B4-B1963313C3AA}" keepAlive="1" name="Connection719" type="5" refreshedVersion="0" background="1">
    <dbPr connection="Provider=Microsoft.Mashup.OleDb.1;Data Source=$Workbook$;Location=&quot;WESTERN ROCKIES_01&quot;;Extended Properties=&quot;&quot;" commandType="0"/>
  </connection>
  <connection id="932" xr16:uid="{06B11D0E-9AAC-4927-9C81-0714011850E0}" keepAlive="1" name="Connection72" type="5" refreshedVersion="0" background="1">
    <dbPr connection="Provider=Microsoft.Mashup.OleDb.1;Data Source=$Workbook$;Location=&quot;123578321012_01&quot;;Extended Properties=&quot;&quot;" commandType="0"/>
  </connection>
  <connection id="933" xr16:uid="{8D865410-6514-4C56-A608-B4B66AD98FF7}" keepAlive="1" name="Connection720" type="5" refreshedVersion="0" background="1">
    <dbPr connection="Provider=Microsoft.Mashup.OleDb.1;Data Source=$Workbook$;Location=&quot;WESTERN ROCKIES_01&quot;;Extended Properties=&quot;&quot;" commandType="0"/>
  </connection>
  <connection id="934" xr16:uid="{925D57C6-50F4-490E-B099-A1B17DB3ACB7}" keepAlive="1" name="Connection721" type="5" refreshedVersion="0" background="1">
    <dbPr connection="Provider=Microsoft.Mashup.OleDb.1;Data Source=$Workbook$;Location=&quot;WESTERN ROCKIES_01&quot;;Extended Properties=&quot;&quot;" commandType="0"/>
  </connection>
  <connection id="935" xr16:uid="{4BBB2DBD-0062-47AF-BBED-A181C1E93792}" keepAlive="1" name="Connection722" type="5" refreshedVersion="0" background="1">
    <dbPr connection="Provider=Microsoft.Mashup.OleDb.1;Data Source=$Workbook$;Location=&quot;WESTERN ROCKIES_01&quot;;Extended Properties=&quot;&quot;" commandType="0"/>
  </connection>
  <connection id="936" xr16:uid="{DE9B2CA5-2120-4717-A05D-5ADF1AD650CC}" keepAlive="1" name="Connection723" type="5" refreshedVersion="0" background="1">
    <dbPr connection="Provider=Microsoft.Mashup.OleDb.1;Data Source=$Workbook$;Location=&quot;WESTERN ROCKIES_01&quot;;Extended Properties=&quot;&quot;" commandType="0"/>
  </connection>
  <connection id="937" xr16:uid="{42065F9F-0EEC-4988-87AB-EC648E147ECF}" keepAlive="1" name="Connection724" type="5" refreshedVersion="0" background="1">
    <dbPr connection="Provider=Microsoft.Mashup.OleDb.1;Data Source=$Workbook$;Location=&quot;WESTERN ROCKIES_01&quot;;Extended Properties=&quot;&quot;" commandType="0"/>
  </connection>
  <connection id="938" xr16:uid="{42FDE329-4814-46BF-AC3E-E8C0219528A6}" keepAlive="1" name="Connection725" type="5" refreshedVersion="0" background="1">
    <dbPr connection="Provider=Microsoft.Mashup.OleDb.1;Data Source=$Workbook$;Location=&quot;WESTERN ROCKIES_01&quot;;Extended Properties=&quot;&quot;" commandType="0"/>
  </connection>
  <connection id="939" xr16:uid="{CD0BED2F-33EC-4247-A258-0DDC970AEE57}" keepAlive="1" name="Connection726" type="5" refreshedVersion="0" background="1">
    <dbPr connection="Provider=Microsoft.Mashup.OleDb.1;Data Source=$Workbook$;Location=&quot;WESTERN ROCKIES_01&quot;;Extended Properties=&quot;&quot;" commandType="0"/>
  </connection>
  <connection id="940" xr16:uid="{1752CA11-CFB9-437A-A920-3718CC30CCBB}" keepAlive="1" name="Connection727" type="5" refreshedVersion="0" background="1">
    <dbPr connection="Provider=Microsoft.Mashup.OleDb.1;Data Source=$Workbook$;Location=&quot;WESTERN ROCKIES_01&quot;;Extended Properties=&quot;&quot;" commandType="0"/>
  </connection>
  <connection id="941" xr16:uid="{2FCFD23E-904E-4AE5-9639-1E62E252A17B}" keepAlive="1" name="Connection728" type="5" refreshedVersion="0" background="1">
    <dbPr connection="Provider=Microsoft.Mashup.OleDb.1;Data Source=$Workbook$;Location=&quot;WESTERN ROCKIES_01&quot;;Extended Properties=&quot;&quot;" commandType="0"/>
  </connection>
  <connection id="942" xr16:uid="{69FE47CA-D53A-4BF1-AE31-C13669C0B9AA}" keepAlive="1" name="Connection729" type="5" refreshedVersion="0" background="1">
    <dbPr connection="Provider=Microsoft.Mashup.OleDb.1;Data Source=$Workbook$;Location=&quot;WESTERN ROCKIES_01&quot;;Extended Properties=&quot;&quot;" commandType="0"/>
  </connection>
  <connection id="943" xr16:uid="{BC589F05-15B2-4DC4-8F5B-E67E03AA4299}" keepAlive="1" name="Connection73" type="5" refreshedVersion="0" background="1">
    <dbPr connection="Provider=Microsoft.Mashup.OleDb.1;Data Source=$Workbook$;Location=&quot;123578321012_04&quot;;Extended Properties=&quot;&quot;" commandType="0"/>
  </connection>
  <connection id="944" xr16:uid="{D0879F4A-61F5-456A-BF7D-53C7F229E8B1}" keepAlive="1" name="Connection730" type="5" refreshedVersion="0" background="1">
    <dbPr connection="Provider=Microsoft.Mashup.OleDb.1;Data Source=$Workbook$;Location=&quot;WESTERN ROCKIES_01&quot;;Extended Properties=&quot;&quot;" commandType="0"/>
  </connection>
  <connection id="945" xr16:uid="{C2AF5A1E-FE89-468C-B107-0D472E98D912}" keepAlive="1" name="Connection731" type="5" refreshedVersion="0" background="1">
    <dbPr connection="Provider=Microsoft.Mashup.OleDb.1;Data Source=$Workbook$;Location=&quot;WESTERN ROCKIES_01&quot;;Extended Properties=&quot;&quot;" commandType="0"/>
  </connection>
  <connection id="946" xr16:uid="{BC15342C-1B77-4ABF-88CF-1DDC2531A250}" keepAlive="1" name="Connection732" type="5" refreshedVersion="0" background="1">
    <dbPr connection="Provider=Microsoft.Mashup.OleDb.1;Data Source=$Workbook$;Location=&quot;WESTERN ROCKIES_01&quot;;Extended Properties=&quot;&quot;" commandType="0"/>
  </connection>
  <connection id="947" xr16:uid="{CD068F72-487E-42BC-B167-28DA0298C6CA}" keepAlive="1" name="Connection733" type="5" refreshedVersion="0" background="1">
    <dbPr connection="Provider=Microsoft.Mashup.OleDb.1;Data Source=$Workbook$;Location=&quot;WESTERN ROCKIES_01&quot;;Extended Properties=&quot;&quot;" commandType="0"/>
  </connection>
  <connection id="948" xr16:uid="{E0C8F08E-B4A2-470C-A072-AA2E110C873A}" keepAlive="1" name="Connection734" type="5" refreshedVersion="0" background="1">
    <dbPr connection="Provider=Microsoft.Mashup.OleDb.1;Data Source=$Workbook$;Location=&quot;WESTERN ROCKIES_01&quot;;Extended Properties=&quot;&quot;" commandType="0"/>
  </connection>
  <connection id="949" xr16:uid="{6CEF9F96-1E42-44F7-A754-E1C850014610}" keepAlive="1" name="Connection735" type="5" refreshedVersion="0" background="1">
    <dbPr connection="Provider=Microsoft.Mashup.OleDb.1;Data Source=$Workbook$;Location=&quot;WESTERN ROCKIES_01&quot;;Extended Properties=&quot;&quot;" commandType="0"/>
  </connection>
  <connection id="950" xr16:uid="{8CFF5EBA-2892-4602-85E3-869BAFDECD9B}" keepAlive="1" name="Connection736" type="5" refreshedVersion="0" background="1">
    <dbPr connection="Provider=Microsoft.Mashup.OleDb.1;Data Source=$Workbook$;Location=&quot;WESTERN ROCKIES_01&quot;;Extended Properties=&quot;&quot;" commandType="0"/>
  </connection>
  <connection id="951" xr16:uid="{1EF51F11-5E92-4FDA-BEA8-AA9B0DD5241B}" keepAlive="1" name="Connection737" type="5" refreshedVersion="0" background="1">
    <dbPr connection="Provider=Microsoft.Mashup.OleDb.1;Data Source=$Workbook$;Location=&quot;WESTERN ROCKIES_01&quot;;Extended Properties=&quot;&quot;" commandType="0"/>
  </connection>
  <connection id="952" xr16:uid="{27E74C82-788D-4CD1-B120-2CE9BDF5FD74}" keepAlive="1" name="Connection738" type="5" refreshedVersion="0" background="1">
    <dbPr connection="Provider=Microsoft.Mashup.OleDb.1;Data Source=$Workbook$;Location=&quot;WESTERN ROCKIES_01&quot;;Extended Properties=&quot;&quot;" commandType="0"/>
  </connection>
  <connection id="953" xr16:uid="{46682DA1-98BB-4CE5-BDA1-99778BF395E7}" keepAlive="1" name="Connection739" type="5" refreshedVersion="0" background="1">
    <dbPr connection="Provider=Microsoft.Mashup.OleDb.1;Data Source=$Workbook$;Location=&quot;WESTERN ROCKIES_01&quot;;Extended Properties=&quot;&quot;" commandType="0"/>
  </connection>
  <connection id="954" xr16:uid="{E6C962CF-FCEB-4F9F-99EF-5875611019C9}" keepAlive="1" name="Connection74" type="5" refreshedVersion="0" background="1">
    <dbPr connection="Provider=Microsoft.Mashup.OleDb.1;Data Source=$Workbook$;Location=&quot;123578321012_01&quot;;Extended Properties=&quot;&quot;" commandType="0"/>
  </connection>
  <connection id="955" xr16:uid="{D0F9FFDD-2485-4BC1-A997-68BA92301532}" keepAlive="1" name="Connection740" type="5" refreshedVersion="0" background="1">
    <dbPr connection="Provider=Microsoft.Mashup.OleDb.1;Data Source=$Workbook$;Location=&quot;WESTERN ROCKIES_01&quot;;Extended Properties=&quot;&quot;" commandType="0"/>
  </connection>
  <connection id="956" xr16:uid="{F4747C1E-BF36-40AD-9851-517DC6A1E652}" keepAlive="1" name="Connection741" type="5" refreshedVersion="0" background="1">
    <dbPr connection="Provider=Microsoft.Mashup.OleDb.1;Data Source=$Workbook$;Location=&quot;WESTERN ROCKIES_01&quot;;Extended Properties=&quot;&quot;" commandType="0"/>
  </connection>
  <connection id="957" xr16:uid="{81E10C17-17C2-4BD1-9F10-3FC1093C4DDA}" keepAlive="1" name="Connection742" type="5" refreshedVersion="0" background="1">
    <dbPr connection="Provider=Microsoft.Mashup.OleDb.1;Data Source=$Workbook$;Location=&quot;WESTERN ROCKIES_01&quot;;Extended Properties=&quot;&quot;" commandType="0"/>
  </connection>
  <connection id="958" xr16:uid="{34926F76-15EE-49EA-8AFD-2C4FC37278FA}" keepAlive="1" name="Connection743" type="5" refreshedVersion="0" background="1">
    <dbPr connection="Provider=Microsoft.Mashup.OleDb.1;Data Source=$Workbook$;Location=&quot;WESTERN ROCKIES_01&quot;;Extended Properties=&quot;&quot;" commandType="0"/>
  </connection>
  <connection id="959" xr16:uid="{BA74FC3B-9CF5-44D9-A8B7-2D1C8AD9FD46}" keepAlive="1" name="Connection744" type="5" refreshedVersion="0" background="1">
    <dbPr connection="Provider=Microsoft.Mashup.OleDb.1;Data Source=$Workbook$;Location=&quot;WESTERN ROCKIES_01&quot;;Extended Properties=&quot;&quot;" commandType="0"/>
  </connection>
  <connection id="960" xr16:uid="{5C800F42-BBE4-40E9-9CE2-1461CE8DC852}" keepAlive="1" name="Connection745" type="5" refreshedVersion="0" background="1">
    <dbPr connection="Provider=Microsoft.Mashup.OleDb.1;Data Source=$Workbook$;Location=&quot;WESTERN ROCKIES_01&quot;;Extended Properties=&quot;&quot;" commandType="0"/>
  </connection>
  <connection id="961" xr16:uid="{7AEDA3CF-B0EB-4802-B652-ADAF7AD07229}" keepAlive="1" name="Connection746" type="5" refreshedVersion="0" background="1">
    <dbPr connection="Provider=Microsoft.Mashup.OleDb.1;Data Source=$Workbook$;Location=&quot;WESTERN ROCKIES_01&quot;;Extended Properties=&quot;&quot;" commandType="0"/>
  </connection>
  <connection id="962" xr16:uid="{79415964-65F2-4CC7-A50A-3305EDCC8480}" keepAlive="1" name="Connection747" type="5" refreshedVersion="0" background="1">
    <dbPr connection="Provider=Microsoft.Mashup.OleDb.1;Data Source=$Workbook$;Location=&quot;WESTERN ROCKIES_01&quot;;Extended Properties=&quot;&quot;" commandType="0"/>
  </connection>
  <connection id="963" xr16:uid="{54CAE26E-79CB-4ECB-9E47-057D7DB765C2}" keepAlive="1" name="Connection748" type="5" refreshedVersion="0" background="1">
    <dbPr connection="Provider=Microsoft.Mashup.OleDb.1;Data Source=$Workbook$;Location=&quot;WESTERN ROCKIES_01&quot;;Extended Properties=&quot;&quot;" commandType="0"/>
  </connection>
  <connection id="964" xr16:uid="{E29C7D95-9FC3-445B-B8FD-0727E8C0A924}" keepAlive="1" name="Connection749" type="5" refreshedVersion="0" background="1">
    <dbPr connection="Provider=Microsoft.Mashup.OleDb.1;Data Source=$Workbook$;Location=&quot;WESTERN ROCKIES_01&quot;;Extended Properties=&quot;&quot;" commandType="0"/>
  </connection>
  <connection id="965" xr16:uid="{40D1736D-6CDF-4E18-9C67-9D88E7E183C5}" keepAlive="1" name="Connection75" type="5" refreshedVersion="0" background="1">
    <dbPr connection="Provider=Microsoft.Mashup.OleDb.1;Data Source=$Workbook$;Location=&quot;123578321012_04&quot;;Extended Properties=&quot;&quot;" commandType="0"/>
  </connection>
  <connection id="966" xr16:uid="{2A15CBC8-CF14-4B73-B964-512AE5812A93}" keepAlive="1" name="Connection750" type="5" refreshedVersion="0" background="1">
    <dbPr connection="Provider=Microsoft.Mashup.OleDb.1;Data Source=$Workbook$;Location=&quot;WESTERN ROCKIES_01&quot;;Extended Properties=&quot;&quot;" commandType="0"/>
  </connection>
  <connection id="967" xr16:uid="{79B46A35-8A48-4B8A-A33B-3E8C0FFEE834}" keepAlive="1" name="Connection751" type="5" refreshedVersion="0" background="1">
    <dbPr connection="Provider=Microsoft.Mashup.OleDb.1;Data Source=$Workbook$;Location=&quot;WESTERN ROCKIES_01&quot;;Extended Properties=&quot;&quot;" commandType="0"/>
  </connection>
  <connection id="968" xr16:uid="{78BED7E0-61C3-44BA-A684-07FBF7DB5834}" keepAlive="1" name="Connection752" type="5" refreshedVersion="0" background="1">
    <dbPr connection="Provider=Microsoft.Mashup.OleDb.1;Data Source=$Workbook$;Location=&quot;WESTERN ROCKIES_01&quot;;Extended Properties=&quot;&quot;" commandType="0"/>
  </connection>
  <connection id="969" xr16:uid="{AEA387CD-E4B4-4A4F-9BA3-D6A733DA4282}" keepAlive="1" name="Connection753" type="5" refreshedVersion="0" background="1">
    <dbPr connection="Provider=Microsoft.Mashup.OleDb.1;Data Source=$Workbook$;Location=&quot;WESTERN ROCKIES_01&quot;;Extended Properties=&quot;&quot;" commandType="0"/>
  </connection>
  <connection id="970" xr16:uid="{0FCA75F2-58ED-49FA-9EC3-5C1B7C5038DC}" keepAlive="1" name="Connection754" type="5" refreshedVersion="0" background="1">
    <dbPr connection="Provider=Microsoft.Mashup.OleDb.1;Data Source=$Workbook$;Location=&quot;WESTERN ROCKIES_01&quot;;Extended Properties=&quot;&quot;" commandType="0"/>
  </connection>
  <connection id="971" xr16:uid="{663B3B99-04DA-40E3-8039-55D14CC43003}" keepAlive="1" name="Connection755" type="5" refreshedVersion="0" background="1">
    <dbPr connection="Provider=Microsoft.Mashup.OleDb.1;Data Source=$Workbook$;Location=&quot;WESTERN ROCKIES_01&quot;;Extended Properties=&quot;&quot;" commandType="0"/>
  </connection>
  <connection id="972" xr16:uid="{E6B18F37-841E-4746-B271-E71EB39E067E}" keepAlive="1" name="Connection756" type="5" refreshedVersion="0" background="1">
    <dbPr connection="Provider=Microsoft.Mashup.OleDb.1;Data Source=$Workbook$;Location=&quot;WESTERN ROCKIES_01&quot;;Extended Properties=&quot;&quot;" commandType="0"/>
  </connection>
  <connection id="973" xr16:uid="{0014B046-7FD5-4008-8437-95D7E6B4C5B9}" keepAlive="1" name="Connection757" type="5" refreshedVersion="0" background="1">
    <dbPr connection="Provider=Microsoft.Mashup.OleDb.1;Data Source=$Workbook$;Location=&quot;WESTERN ROCKIES_01&quot;;Extended Properties=&quot;&quot;" commandType="0"/>
  </connection>
  <connection id="974" xr16:uid="{677D9906-62B6-421A-87CF-2F92A71E101F}" keepAlive="1" name="Connection758" type="5" refreshedVersion="0" saveData="1">
    <dbPr connection="Provider=Microsoft.Mashup.OleDb.1;Data Source=$Workbook$;Location=&quot;392219317187_01&quot;;Extended Properties=&quot;&quot;" commandType="0"/>
  </connection>
  <connection id="975" xr16:uid="{DA08CC2D-618D-4AAF-8E72-BFC4FAE1D3FA}" keepAlive="1" name="Connection759" type="5" refreshedVersion="0" background="1">
    <dbPr connection="Provider=Microsoft.Mashup.OleDb.1;Data Source=$Workbook$;Location=&quot;392219317187_04&quot;;Extended Properties=&quot;&quot;" commandType="0"/>
  </connection>
  <connection id="976" xr16:uid="{2DEF729A-E766-4C6B-9F1C-AD570BF34C0E}" keepAlive="1" name="Connection76" type="5" refreshedVersion="0" background="1">
    <dbPr connection="Provider=Microsoft.Mashup.OleDb.1;Data Source=$Workbook$;Location=&quot;123578321012_01&quot;;Extended Properties=&quot;&quot;" commandType="0"/>
  </connection>
  <connection id="977" xr16:uid="{61A6E15D-3EBE-4F0E-ABAC-C0CEAF4F114A}" keepAlive="1" name="Connection760" type="5" refreshedVersion="0" background="1">
    <dbPr connection="Provider=Microsoft.Mashup.OleDb.1;Data Source=$Workbook$;Location=&quot;392325345130_01&quot;;Extended Properties=&quot;&quot;" commandType="0"/>
  </connection>
  <connection id="978" xr16:uid="{2D77B831-D0B1-497E-859D-AE2405F59446}" keepAlive="1" name="Connection761" type="5" refreshedVersion="0" saveData="1">
    <dbPr connection="Provider=Microsoft.Mashup.OleDb.1;Data Source=$Workbook$;Location=&quot;392776792367_01&quot;;Extended Properties=&quot;&quot;" commandType="0"/>
  </connection>
  <connection id="979" xr16:uid="{BB892865-936C-4433-856B-046F7CB941FE}" keepAlive="1" name="Connection762" type="5" refreshedVersion="0" background="1">
    <dbPr connection="Provider=Microsoft.Mashup.OleDb.1;Data Source=$Workbook$;Location=&quot;392776792367_04&quot;;Extended Properties=&quot;&quot;" commandType="0"/>
  </connection>
  <connection id="980" xr16:uid="{9BE73A43-F4EC-4797-A479-32C11517AB9B}" keepAlive="1" name="Connection763" type="5" refreshedVersion="0" background="1">
    <dbPr connection="Provider=Microsoft.Mashup.OleDb.1;Data Source=$Workbook$;Location=&quot;178055966428_01&quot;;Extended Properties=&quot;&quot;" commandType="0"/>
  </connection>
  <connection id="981" xr16:uid="{7A0BA573-771B-458D-B765-483E242917F5}" keepAlive="1" name="Connection764" type="5" refreshedVersion="0" background="1">
    <dbPr connection="Provider=Microsoft.Mashup.OleDb.1;Data Source=$Workbook$;Location=&quot;178055966428_04&quot;;Extended Properties=&quot;&quot;" commandType="0"/>
  </connection>
  <connection id="982" xr16:uid="{23667BC0-6BCA-424E-A078-D03F3653A374}" keepAlive="1" name="Connection765" type="5" refreshedVersion="0" background="1">
    <dbPr connection="Provider=Microsoft.Mashup.OleDb.1;Data Source=$Workbook$;Location=&quot;180264821132_01&quot;;Extended Properties=&quot;&quot;" commandType="0"/>
  </connection>
  <connection id="983" xr16:uid="{4BE1E177-227F-471B-A7D2-44BBB64C9944}" keepAlive="1" name="Connection766" type="5" refreshedVersion="0" background="1">
    <dbPr connection="Provider=Microsoft.Mashup.OleDb.1;Data Source=$Workbook$;Location=&quot;180264821132_04&quot;;Extended Properties=&quot;&quot;" commandType="0"/>
  </connection>
  <connection id="984" xr16:uid="{D05F5764-4F3A-43C6-AF19-7C4CE85A9F95}" keepAlive="1" name="Connection767" type="5" refreshedVersion="0" background="1">
    <dbPr connection="Provider=Microsoft.Mashup.OleDb.1;Data Source=$Workbook$;Location=&quot;391170262727_01&quot;;Extended Properties=&quot;&quot;" commandType="0"/>
  </connection>
  <connection id="985" xr16:uid="{297F0AD4-16E6-4EF3-AAE3-F171160107F2}" keepAlive="1" name="Connection768" type="5" refreshedVersion="0" background="1">
    <dbPr connection="Provider=Microsoft.Mashup.OleDb.1;Data Source=$Workbook$;Location=&quot;391170262727_04&quot;;Extended Properties=&quot;&quot;" commandType="0"/>
  </connection>
  <connection id="986" xr16:uid="{DB0C190E-DB92-4DB9-9B45-605E62247433}" keepAlive="1" name="Connection769" type="5" refreshedVersion="0" background="1">
    <dbPr connection="Provider=Microsoft.Mashup.OleDb.1;Data Source=$Workbook$;Location=&quot;391292575906_01&quot;;Extended Properties=&quot;&quot;" commandType="0"/>
  </connection>
  <connection id="987" xr16:uid="{ECBA255D-4428-4EC9-BD9B-94708CB8B69E}" keepAlive="1" name="Connection77" type="5" refreshedVersion="0" background="1">
    <dbPr connection="Provider=Microsoft.Mashup.OleDb.1;Data Source=$Workbook$;Location=&quot;123578321012_04&quot;;Extended Properties=&quot;&quot;" commandType="0"/>
  </connection>
  <connection id="988" xr16:uid="{0B23B15C-7BBF-415E-92BF-49285C352BE5}" keepAlive="1" name="Connection770" type="5" refreshedVersion="0" background="1">
    <dbPr connection="Provider=Microsoft.Mashup.OleDb.1;Data Source=$Workbook$;Location=&quot;391292575906_04&quot;;Extended Properties=&quot;&quot;" commandType="0"/>
  </connection>
  <connection id="989" xr16:uid="{735CF79C-7383-41AA-A7F4-4109396E8351}" keepAlive="1" name="Connection771" type="5" refreshedVersion="0" background="1">
    <dbPr connection="Provider=Microsoft.Mashup.OleDb.1;Data Source=$Workbook$;Location=&quot;391614023051_01&quot;;Extended Properties=&quot;&quot;" commandType="0"/>
  </connection>
  <connection id="990" xr16:uid="{C9072CAB-2ECE-48B2-83A0-6BF19DEE93B3}" keepAlive="1" name="Connection772" type="5" refreshedVersion="0" background="1">
    <dbPr connection="Provider=Microsoft.Mashup.OleDb.1;Data Source=$Workbook$;Location=&quot;391614023051_04&quot;;Extended Properties=&quot;&quot;" commandType="0"/>
  </connection>
  <connection id="991" xr16:uid="{A81BDF28-0E83-479B-87D8-A7051D17CC3B}" keepAlive="1" name="Connection773" type="5" refreshedVersion="0" background="1">
    <dbPr connection="Provider=Microsoft.Mashup.OleDb.1;Data Source=$Workbook$;Location=&quot;391999080397_01&quot;;Extended Properties=&quot;&quot;" commandType="0"/>
  </connection>
  <connection id="992" xr16:uid="{D3BE2F74-F7AF-41D0-ACA5-71AB7A2C1747}" keepAlive="1" name="Connection774" type="5" refreshedVersion="0" background="1">
    <dbPr connection="Provider=Microsoft.Mashup.OleDb.1;Data Source=$Workbook$;Location=&quot;391999080397_04&quot;;Extended Properties=&quot;&quot;" commandType="0"/>
  </connection>
  <connection id="993" xr16:uid="{FEA9192E-E0DB-4086-87AB-CC3974277AD8}" keepAlive="1" name="Connection775" type="5" refreshedVersion="0" background="1">
    <dbPr connection="Provider=Microsoft.Mashup.OleDb.1;Data Source=$Workbook$;Location=&quot;392291823436_01&quot;;Extended Properties=&quot;&quot;" commandType="0"/>
  </connection>
  <connection id="994" xr16:uid="{459CF987-9640-489B-A62A-03C1282E0979}" keepAlive="1" name="Connection776" type="5" refreshedVersion="0" background="1">
    <dbPr connection="Provider=Microsoft.Mashup.OleDb.1;Data Source=$Workbook$;Location=&quot;392375776250_01&quot;;Extended Properties=&quot;&quot;" commandType="0"/>
  </connection>
  <connection id="995" xr16:uid="{C9B3AEB5-ADE4-49F7-A7EF-91FCDCAB31F3}" keepAlive="1" name="Connection777" type="5" refreshedVersion="0" background="1">
    <dbPr connection="Provider=Microsoft.Mashup.OleDb.1;Data Source=$Workbook$;Location=&quot;392375776250_04&quot;;Extended Properties=&quot;&quot;" commandType="0"/>
  </connection>
  <connection id="996" xr16:uid="{82A9BFE2-D6F8-4BF9-A5CD-1E6C5F56B09D}" keepAlive="1" name="Connection778" type="5" refreshedVersion="0" background="1">
    <dbPr connection="Provider=Microsoft.Mashup.OleDb.1;Data Source=$Workbook$;Location=&quot;392395916722_01&quot;;Extended Properties=&quot;&quot;" commandType="0"/>
  </connection>
  <connection id="997" xr16:uid="{79108970-9FB5-424B-9539-B29318F4C127}" keepAlive="1" name="Connection779" type="5" refreshedVersion="0" background="1">
    <dbPr connection="Provider=Microsoft.Mashup.OleDb.1;Data Source=$Workbook$;Location=&quot;392395916722_04&quot;;Extended Properties=&quot;&quot;" commandType="0"/>
  </connection>
  <connection id="998" xr16:uid="{49D3F829-0E94-431C-83B0-9EE5FD2FD61C}" keepAlive="1" name="Connection78" type="5" refreshedVersion="0" background="1">
    <dbPr connection="Provider=Microsoft.Mashup.OleDb.1;Data Source=$Workbook$;Location=&quot;123578321012_01&quot;;Extended Properties=&quot;&quot;" commandType="0"/>
  </connection>
  <connection id="999" xr16:uid="{EFB7D598-0045-4476-AE97-F04F5A63A069}" keepAlive="1" name="Connection780" type="5" refreshedVersion="0" background="1">
    <dbPr connection="Provider=Microsoft.Mashup.OleDb.1;Data Source=$Workbook$;Location=&quot;392725459932_01&quot;;Extended Properties=&quot;&quot;" commandType="0"/>
  </connection>
  <connection id="1000" xr16:uid="{233411CC-8753-4F81-9701-E168540B5A39}" keepAlive="1" name="Connection781" type="5" refreshedVersion="0" background="1">
    <dbPr connection="Provider=Microsoft.Mashup.OleDb.1;Data Source=$Workbook$;Location=&quot;392781947120_01&quot;;Extended Properties=&quot;&quot;" commandType="0"/>
  </connection>
  <connection id="1001" xr16:uid="{D26F7CCB-4B33-4DFA-8999-8467EE18579A}" keepAlive="1" name="Connection782" type="5" refreshedVersion="0" background="1">
    <dbPr connection="Provider=Microsoft.Mashup.OleDb.1;Data Source=$Workbook$;Location=&quot;770378275818_01&quot;;Extended Properties=&quot;&quot;" commandType="0"/>
  </connection>
  <connection id="1002" xr16:uid="{6F23E8DF-46C5-49B1-94CF-1345899563D3}" keepAlive="1" name="Connection783" type="5" refreshedVersion="0" background="1">
    <dbPr connection="Provider=Microsoft.Mashup.OleDb.1;Data Source=$Workbook$;Location=&quot;981345817590778_01&quot;;Extended Properties=&quot;&quot;" commandType="0"/>
  </connection>
  <connection id="1003" xr16:uid="{BE55A173-00AB-47DC-994B-2D70B0E723A8}" keepAlive="1" name="Connection784" type="5" refreshedVersion="0" background="1">
    <dbPr connection="Provider=Microsoft.Mashup.OleDb.1;Data Source=$Workbook$;Location=&quot;981345817590778_04&quot;;Extended Properties=&quot;&quot;" commandType="0"/>
  </connection>
  <connection id="1004" xr16:uid="{3BC9D8E9-C288-4D22-8303-6FBEBDCA266F}" keepAlive="1" name="Connection785" type="5" refreshedVersion="0" background="1">
    <dbPr connection="Provider=Microsoft.Mashup.OleDb.1;Data Source=$Workbook$;Location=&quot;981345817996525_01&quot;;Extended Properties=&quot;&quot;" commandType="0"/>
  </connection>
  <connection id="1005" xr16:uid="{48D3BD07-FF0C-4894-B003-8131F36F93DE}" keepAlive="1" name="Connection786" type="5" refreshedVersion="0" background="1">
    <dbPr connection="Provider=Microsoft.Mashup.OleDb.1;Data Source=$Workbook$;Location=&quot;981345817996525_04&quot;;Extended Properties=&quot;&quot;" commandType="0"/>
  </connection>
  <connection id="1006" xr16:uid="{A7B3604E-688B-40C7-B447-1C2CD450A23C}" keepAlive="1" name="Connection787" type="5" refreshedVersion="0" background="1">
    <dbPr connection="Provider=Microsoft.Mashup.OleDb.1;Data Source=$Workbook$;Location=&quot;168903123121_01&quot;;Extended Properties=&quot;&quot;" commandType="0"/>
  </connection>
  <connection id="1007" xr16:uid="{7972D319-2B14-4B6A-AFCB-4657614F5356}" keepAlive="1" name="Connection788" type="5" refreshedVersion="0" background="1">
    <dbPr connection="Provider=Microsoft.Mashup.OleDb.1;Data Source=$Workbook$;Location=&quot;168903123121_04&quot;;Extended Properties=&quot;&quot;" commandType="0"/>
  </connection>
  <connection id="1008" xr16:uid="{ED95D586-8691-4A7B-B236-1F47515BD453}" keepAlive="1" name="Connection789" type="5" refreshedVersion="0" background="1">
    <dbPr connection="Provider=Microsoft.Mashup.OleDb.1;Data Source=$Workbook$;Location=&quot;176050599917_01&quot;;Extended Properties=&quot;&quot;" commandType="0"/>
  </connection>
  <connection id="1009" xr16:uid="{C88E4A41-00C9-489E-BE69-1FA8AE3A0F9A}" keepAlive="1" name="Connection79" type="5" refreshedVersion="0" background="1">
    <dbPr connection="Provider=Microsoft.Mashup.OleDb.1;Data Source=$Workbook$;Location=&quot;123578321012_04&quot;;Extended Properties=&quot;&quot;" commandType="0"/>
  </connection>
  <connection id="1010" xr16:uid="{643F32F2-7A56-4493-8BC7-F53D8C5000F5}" keepAlive="1" name="Connection790" type="5" refreshedVersion="0" background="1">
    <dbPr connection="Provider=Microsoft.Mashup.OleDb.1;Data Source=$Workbook$;Location=&quot;182138271534_01&quot;;Extended Properties=&quot;&quot;" commandType="0"/>
  </connection>
  <connection id="1011" xr16:uid="{24324843-1615-46CA-B04E-CCE41CEA537C}" keepAlive="1" name="Connection791" type="5" refreshedVersion="0" background="1">
    <dbPr connection="Provider=Microsoft.Mashup.OleDb.1;Data Source=$Workbook$;Location=&quot;182138271534_04&quot;;Extended Properties=&quot;&quot;" commandType="0"/>
  </connection>
  <connection id="1012" xr16:uid="{0BE28857-5486-4E62-9D57-C8F1ED78DA04}" keepAlive="1" name="Connection792" type="5" refreshedVersion="0" background="1">
    <dbPr connection="Provider=Microsoft.Mashup.OleDb.1;Data Source=$Workbook$;Location=&quot;261248911395665_01&quot;;Extended Properties=&quot;&quot;" commandType="0"/>
  </connection>
  <connection id="1013" xr16:uid="{A7E7F1D6-A255-4E5F-872E-5B01C94A913A}" keepAlive="1" name="Connection793" type="5" refreshedVersion="0" background="1">
    <dbPr connection="Provider=Microsoft.Mashup.OleDb.1;Data Source=$Workbook$;Location=&quot;261248911395665_04&quot;;Extended Properties=&quot;&quot;" commandType="0"/>
  </connection>
  <connection id="1014" xr16:uid="{5B4BD9E7-06C2-4DEA-BD38-A6A9D4FED445}" keepAlive="1" name="Connection794" type="5" refreshedVersion="0" background="1">
    <dbPr connection="Provider=Microsoft.Mashup.OleDb.1;Data Source=$Workbook$;Location=&quot;298497815196838_01&quot;;Extended Properties=&quot;&quot;" commandType="0"/>
  </connection>
  <connection id="1015" xr16:uid="{9C93F9F9-3D9B-4846-B71B-8390DE50C8CF}" keepAlive="1" name="Connection795" type="5" refreshedVersion="0" background="1">
    <dbPr connection="Provider=Microsoft.Mashup.OleDb.1;Data Source=$Workbook$;Location=&quot;392412542541_01&quot;;Extended Properties=&quot;&quot;" commandType="0"/>
  </connection>
  <connection id="1016" xr16:uid="{A3097912-71E0-4066-B831-8BAE8BFA1129}" keepAlive="1" name="Connection796" type="5" refreshedVersion="0" background="1">
    <dbPr connection="Provider=Microsoft.Mashup.OleDb.1;Data Source=$Workbook$;Location=&quot;392412613066_01&quot;;Extended Properties=&quot;&quot;" commandType="0"/>
  </connection>
  <connection id="1017" xr16:uid="{AF20F075-54D1-40BA-B2E2-EFF2059C6DC5}" keepAlive="1" name="Connection797" type="5" refreshedVersion="0" background="1">
    <dbPr connection="Provider=Microsoft.Mashup.OleDb.1;Data Source=$Workbook$;Location=&quot;392841234406_01&quot;;Extended Properties=&quot;&quot;" commandType="0"/>
  </connection>
  <connection id="1018" xr16:uid="{D5301C12-752E-47EE-9AB5-5E58A8FD199B}" keepAlive="1" name="Connection798" type="5" refreshedVersion="0" background="1">
    <dbPr connection="Provider=Microsoft.Mashup.OleDb.1;Data Source=$Workbook$;Location=&quot;392841234406_04&quot;;Extended Properties=&quot;&quot;" commandType="0"/>
  </connection>
  <connection id="1019" xr16:uid="{B8764BD5-2528-49BE-93CC-D28CD1A2ACA4}" keepAlive="1" name="Connection799" type="5" refreshedVersion="0" background="1">
    <dbPr connection="Provider=Microsoft.Mashup.OleDb.1;Data Source=$Workbook$;Location=&quot;392860719861_01&quot;;Extended Properties=&quot;&quot;" commandType="0"/>
  </connection>
  <connection id="1020" xr16:uid="{7E9E3200-2844-4BC8-937E-D33821B6FC09}" keepAlive="1" name="Connection8" type="5" refreshedVersion="0" saveData="1">
    <dbPr connection="Provider=Microsoft.Mashup.OleDb.1;Data Source=$Workbook$;Location=&quot;391309290024&quot;;Extended Properties=&quot;&quot;" commandType="0"/>
  </connection>
  <connection id="1021" xr16:uid="{407B63D2-18AE-4AE0-9078-E4A232F182D0}" keepAlive="1" name="Connection80" type="5" refreshedVersion="0" background="1">
    <dbPr connection="Provider=Microsoft.Mashup.OleDb.1;Data Source=$Workbook$;Location=&quot;123578321012_01&quot;;Extended Properties=&quot;&quot;" commandType="0"/>
  </connection>
  <connection id="1022" xr16:uid="{3EC1D889-EFD0-4F59-96B1-EA552CE6CFFB}" keepAlive="1" name="Connection800" type="5" refreshedVersion="0" background="1">
    <dbPr connection="Provider=Microsoft.Mashup.OleDb.1;Data Source=$Workbook$;Location=&quot;392860719861_04&quot;;Extended Properties=&quot;&quot;" commandType="0"/>
  </connection>
  <connection id="1023" xr16:uid="{649261AD-9FE8-4866-9B8B-4578C9762D08}" keepAlive="1" name="Connection801" type="5" refreshedVersion="0" background="1">
    <dbPr connection="Provider=Microsoft.Mashup.OleDb.1;Data Source=$Workbook$;Location=&quot;392962109274_01&quot;;Extended Properties=&quot;&quot;" commandType="0"/>
  </connection>
  <connection id="1024" xr16:uid="{EAA40510-2425-4DEC-9EAD-E1F4A2C3F68E}" keepAlive="1" name="Connection802" type="5" refreshedVersion="0" background="1">
    <dbPr connection="Provider=Microsoft.Mashup.OleDb.1;Data Source=$Workbook$;Location=&quot;010604363233586_01&quot;;Extended Properties=&quot;&quot;" commandType="0"/>
  </connection>
  <connection id="1025" xr16:uid="{D49CE6C9-1C87-4E31-AA6A-47E155121634}" keepAlive="1" name="Connection803" type="5" refreshedVersion="0" background="1">
    <dbPr connection="Provider=Microsoft.Mashup.OleDb.1;Data Source=$Workbook$;Location=&quot;010604363233586_04&quot;;Extended Properties=&quot;&quot;" commandType="0"/>
  </connection>
  <connection id="1026" xr16:uid="{61C89CC8-72C2-4DB8-9021-FEB559549934}" keepAlive="1" name="Connection804" type="5" refreshedVersion="0" background="1">
    <dbPr connection="Provider=Microsoft.Mashup.OleDb.1;Data Source=$Workbook$;Location=&quot;176842660247_01&quot;;Extended Properties=&quot;&quot;" commandType="0"/>
  </connection>
  <connection id="1027" xr16:uid="{ED34CE28-9AB4-406E-A220-49B90190C2D2}" keepAlive="1" name="Connection805" type="5" refreshedVersion="0" background="1">
    <dbPr connection="Provider=Microsoft.Mashup.OleDb.1;Data Source=$Workbook$;Location=&quot;176842660247_04&quot;;Extended Properties=&quot;&quot;" commandType="0"/>
  </connection>
  <connection id="1028" xr16:uid="{84D34383-CF40-4D92-9AB2-8544C003DBBE}" keepAlive="1" name="Connection806" type="5" refreshedVersion="0" background="1">
    <dbPr connection="Provider=Microsoft.Mashup.OleDb.1;Data Source=$Workbook$;Location=&quot;241605212860319_01&quot;;Extended Properties=&quot;&quot;" commandType="0"/>
  </connection>
  <connection id="1029" xr16:uid="{EC112900-CB58-45D9-830F-BDE420A8E57C}" keepAlive="1" name="Connection807" type="5" refreshedVersion="0" background="1">
    <dbPr connection="Provider=Microsoft.Mashup.OleDb.1;Data Source=$Workbook$;Location=&quot;241605212860319_04&quot;;Extended Properties=&quot;&quot;" commandType="0"/>
  </connection>
  <connection id="1030" xr16:uid="{F864E85D-EB2D-42F7-AFAC-33CB6DF0A2D2}" keepAlive="1" name="Connection808" type="5" refreshedVersion="0" background="1">
    <dbPr connection="Provider=Microsoft.Mashup.OleDb.1;Data Source=$Workbook$;Location=&quot;392215682460_01&quot;;Extended Properties=&quot;&quot;" commandType="0"/>
  </connection>
  <connection id="1031" xr16:uid="{A8895CD9-AEEF-49CF-A9D9-BC2CF4D02CC0}" keepAlive="1" name="Connection809" type="5" refreshedVersion="0" background="1">
    <dbPr connection="Provider=Microsoft.Mashup.OleDb.1;Data Source=$Workbook$;Location=&quot;397034842123651_01&quot;;Extended Properties=&quot;&quot;" commandType="0"/>
  </connection>
  <connection id="1032" xr16:uid="{6AC791AC-A62F-4416-814C-2323D0286934}" keepAlive="1" name="Connection81" type="5" refreshedVersion="0" background="1">
    <dbPr connection="Provider=Microsoft.Mashup.OleDb.1;Data Source=$Workbook$;Location=&quot;123578321012_04&quot;;Extended Properties=&quot;&quot;" commandType="0"/>
  </connection>
  <connection id="1033" xr16:uid="{A882AF52-CBF1-4C1F-B6BC-57315CA8013C}" keepAlive="1" name="Connection810" type="5" refreshedVersion="0" background="1">
    <dbPr connection="Provider=Microsoft.Mashup.OleDb.1;Data Source=$Workbook$;Location=&quot;397034842123651_04&quot;;Extended Properties=&quot;&quot;" commandType="0"/>
  </connection>
  <connection id="1034" xr16:uid="{7A8566C0-350A-4205-87E7-038570AB66AC}" keepAlive="1" name="Connection811" type="5" refreshedVersion="0" background="1">
    <dbPr connection="Provider=Microsoft.Mashup.OleDb.1;Data Source=$Workbook$;Location=&quot;183000854310_01&quot;;Extended Properties=&quot;&quot;" commandType="0"/>
  </connection>
  <connection id="1035" xr16:uid="{50409AEB-205A-4B40-89E4-7707E637FB25}" keepAlive="1" name="Connection812" type="5" refreshedVersion="0" background="1">
    <dbPr connection="Provider=Microsoft.Mashup.OleDb.1;Data Source=$Workbook$;Location=&quot;183000854310_04&quot;;Extended Properties=&quot;&quot;" commandType="0"/>
  </connection>
  <connection id="1036" xr16:uid="{0C618D70-62EE-41EF-A330-FE4A9AE121AA}" keepAlive="1" name="Connection813" type="5" refreshedVersion="0" background="1">
    <dbPr connection="Provider=Microsoft.Mashup.OleDb.1;Data Source=$Workbook$;Location=&quot;183346793727_01&quot;;Extended Properties=&quot;&quot;" commandType="0"/>
  </connection>
  <connection id="1037" xr16:uid="{FF587717-820A-4850-8606-7556505DA73E}" keepAlive="1" name="Connection814" type="5" refreshedVersion="0" background="1">
    <dbPr connection="Provider=Microsoft.Mashup.OleDb.1;Data Source=$Workbook$;Location=&quot;183346793727_04&quot;;Extended Properties=&quot;&quot;" commandType="0"/>
  </connection>
  <connection id="1038" xr16:uid="{FB65E772-9034-47C9-91A5-562C45991016}" keepAlive="1" name="Connection815" type="5" refreshedVersion="0" background="1">
    <dbPr connection="Provider=Microsoft.Mashup.OleDb.1;Data Source=$Workbook$;Location=&quot;184893136763_01&quot;;Extended Properties=&quot;&quot;" commandType="0"/>
  </connection>
  <connection id="1039" xr16:uid="{CA951ED5-1047-4956-A990-083971DA9A40}" keepAlive="1" name="Connection816" type="5" refreshedVersion="0" background="1">
    <dbPr connection="Provider=Microsoft.Mashup.OleDb.1;Data Source=$Workbook$;Location=&quot;184893136763_04&quot;;Extended Properties=&quot;&quot;" commandType="0"/>
  </connection>
  <connection id="1040" xr16:uid="{E0B9FD52-A2B4-463F-8C8D-5AAE2CCA73F5}" keepAlive="1" name="Connection817" type="5" refreshedVersion="0" background="1">
    <dbPr connection="Provider=Microsoft.Mashup.OleDb.1;Data Source=$Workbook$;Location=&quot;261248911344229_01&quot;;Extended Properties=&quot;&quot;" commandType="0"/>
  </connection>
  <connection id="1041" xr16:uid="{D07090CB-15F6-49D7-A242-05F195357AE5}" keepAlive="1" name="Connection818" type="5" refreshedVersion="0" background="1">
    <dbPr connection="Provider=Microsoft.Mashup.OleDb.1;Data Source=$Workbook$;Location=&quot;261248911344229_04&quot;;Extended Properties=&quot;&quot;" commandType="0"/>
  </connection>
  <connection id="1042" xr16:uid="{7308E235-E7D5-4E5E-87A1-3A8EBF91B704}" keepAlive="1" name="Connection819" type="5" refreshedVersion="0" background="1">
    <dbPr connection="Provider=Microsoft.Mashup.OleDb.1;Data Source=$Workbook$;Location=&quot;261248911481801_01&quot;;Extended Properties=&quot;&quot;" commandType="0"/>
  </connection>
  <connection id="1043" xr16:uid="{E83F3C08-BFBB-4967-881D-C78AD1693486}" keepAlive="1" name="Connection82" type="5" refreshedVersion="0" background="1">
    <dbPr connection="Provider=Microsoft.Mashup.OleDb.1;Data Source=$Workbook$;Location=&quot;123578321012_01&quot;;Extended Properties=&quot;&quot;" commandType="0"/>
  </connection>
  <connection id="1044" xr16:uid="{7DD0FD43-3157-4089-9F63-3AC2FE6F4444}" keepAlive="1" name="Connection820" type="5" refreshedVersion="0" background="1">
    <dbPr connection="Provider=Microsoft.Mashup.OleDb.1;Data Source=$Workbook$;Location=&quot;261248911481801_04&quot;;Extended Properties=&quot;&quot;" commandType="0"/>
  </connection>
  <connection id="1045" xr16:uid="{A56DA48A-6B5E-4FEC-A6B2-1005A7FE6B80}" keepAlive="1" name="Connection821" type="5" refreshedVersion="0" background="1">
    <dbPr connection="Provider=Microsoft.Mashup.OleDb.1;Data Source=$Workbook$;Location=&quot;391748793275_01&quot;;Extended Properties=&quot;&quot;" commandType="0"/>
  </connection>
  <connection id="1046" xr16:uid="{948A16F0-837F-4B59-B4FF-8071A018A9FA}" keepAlive="1" name="Connection822" type="5" refreshedVersion="0" background="1">
    <dbPr connection="Provider=Microsoft.Mashup.OleDb.1;Data Source=$Workbook$;Location=&quot;391748793275_04&quot;;Extended Properties=&quot;&quot;" commandType="0"/>
  </connection>
  <connection id="1047" xr16:uid="{273128DB-22D5-448C-AD37-817AD9CA8364}" keepAlive="1" name="Connection823" type="5" refreshedVersion="0" background="1">
    <dbPr connection="Provider=Microsoft.Mashup.OleDb.1;Data Source=$Workbook$;Location=&quot;391757083751_01&quot;;Extended Properties=&quot;&quot;" commandType="0"/>
  </connection>
  <connection id="1048" xr16:uid="{EDA20EF6-B217-4EE4-AD6F-1721AE76E53D}" keepAlive="1" name="Connection824" type="5" refreshedVersion="0" background="1">
    <dbPr connection="Provider=Microsoft.Mashup.OleDb.1;Data Source=$Workbook$;Location=&quot;391757083751_04&quot;;Extended Properties=&quot;&quot;" commandType="0"/>
  </connection>
  <connection id="1049" xr16:uid="{47B74478-DA5F-4F00-8F69-9DA86CEC48C4}" keepAlive="1" name="Connection825" type="5" refreshedVersion="0" background="1">
    <dbPr connection="Provider=Microsoft.Mashup.OleDb.1;Data Source=$Workbook$;Location=&quot;392369921139_01&quot;;Extended Properties=&quot;&quot;" commandType="0"/>
  </connection>
  <connection id="1050" xr16:uid="{35AF09FB-19D5-485C-8B38-79C237D6AC22}" keepAlive="1" name="Connection826" type="5" refreshedVersion="0" background="1">
    <dbPr connection="Provider=Microsoft.Mashup.OleDb.1;Data Source=$Workbook$;Location=&quot;392369921139_04&quot;;Extended Properties=&quot;&quot;" commandType="0"/>
  </connection>
  <connection id="1051" xr16:uid="{3BC2242B-7EFC-4517-8E86-0001A6E79662}" keepAlive="1" name="Connection827" type="5" refreshedVersion="0" background="1">
    <dbPr connection="Provider=Microsoft.Mashup.OleDb.1;Data Source=$Workbook$;Location=&quot;392385150633_01&quot;;Extended Properties=&quot;&quot;" commandType="0"/>
  </connection>
  <connection id="1052" xr16:uid="{C3CF5249-92A0-4699-9DB3-9110BA938100}" keepAlive="1" name="Connection828" type="5" refreshedVersion="0" background="1">
    <dbPr connection="Provider=Microsoft.Mashup.OleDb.1;Data Source=$Workbook$;Location=&quot;392476571549_01&quot;;Extended Properties=&quot;&quot;" commandType="0"/>
  </connection>
  <connection id="1053" xr16:uid="{90B84838-3894-4F4E-898A-ECCC72F1777A}" keepAlive="1" name="Connection829" type="5" refreshedVersion="0" background="1">
    <dbPr connection="Provider=Microsoft.Mashup.OleDb.1;Data Source=$Workbook$;Location=&quot;392476571549_04&quot;;Extended Properties=&quot;&quot;" commandType="0"/>
  </connection>
  <connection id="1054" xr16:uid="{574F30CD-6673-4127-9FEA-D23AE136FC1F}" keepAlive="1" name="Connection83" type="5" refreshedVersion="0" background="1">
    <dbPr connection="Provider=Microsoft.Mashup.OleDb.1;Data Source=$Workbook$;Location=&quot;123578321012_04&quot;;Extended Properties=&quot;&quot;" commandType="0"/>
  </connection>
  <connection id="1055" xr16:uid="{B9D89392-54BF-4D66-90BD-3CEC71880494}" keepAlive="1" name="Connection830" type="5" refreshedVersion="0" background="1">
    <dbPr connection="Provider=Microsoft.Mashup.OleDb.1;Data Source=$Workbook$;Location=&quot;392577090469_01&quot;;Extended Properties=&quot;&quot;" commandType="0"/>
  </connection>
  <connection id="1056" xr16:uid="{910C3977-2FC3-466C-85CA-D92880A19848}" keepAlive="1" name="Connection831" type="5" refreshedVersion="0" background="1">
    <dbPr connection="Provider=Microsoft.Mashup.OleDb.1;Data Source=$Workbook$;Location=&quot;392577090469_04&quot;;Extended Properties=&quot;&quot;" commandType="0"/>
  </connection>
  <connection id="1057" xr16:uid="{8436C1E3-9405-4D52-8504-D6466045A557}" keepAlive="1" name="Connection832" type="5" refreshedVersion="0" background="1">
    <dbPr connection="Provider=Microsoft.Mashup.OleDb.1;Data Source=$Workbook$;Location=&quot;392789515775_01&quot;;Extended Properties=&quot;&quot;" commandType="0"/>
  </connection>
  <connection id="1058" xr16:uid="{C45BD3BD-DCD4-4F3B-A564-19E31890879C}" keepAlive="1" name="Connection833" type="5" refreshedVersion="0" background="1">
    <dbPr connection="Provider=Microsoft.Mashup.OleDb.1;Data Source=$Workbook$;Location=&quot;181867314220_01&quot;;Extended Properties=&quot;&quot;" commandType="0"/>
  </connection>
  <connection id="1059" xr16:uid="{55BDA598-6C4B-4B0E-AA56-5722922E1A39}" keepAlive="1" name="Connection834" type="5" refreshedVersion="0" background="1">
    <dbPr connection="Provider=Microsoft.Mashup.OleDb.1;Data Source=$Workbook$;Location=&quot;181867314220_04&quot;;Extended Properties=&quot;&quot;" commandType="0"/>
  </connection>
  <connection id="1060" xr16:uid="{E62D0878-FBAF-49CA-BBBF-C85C58A002E1}" keepAlive="1" name="Connection835" type="5" refreshedVersion="0" background="1">
    <dbPr connection="Provider=Microsoft.Mashup.OleDb.1;Data Source=$Workbook$;Location=&quot;183727270717_01&quot;;Extended Properties=&quot;&quot;" commandType="0"/>
  </connection>
  <connection id="1061" xr16:uid="{6A89D1AC-EF50-4C8F-AA5D-2D1148AE7238}" keepAlive="1" name="Connection836" type="5" refreshedVersion="0" background="1">
    <dbPr connection="Provider=Microsoft.Mashup.OleDb.1;Data Source=$Workbook$;Location=&quot;183727270717_04&quot;;Extended Properties=&quot;&quot;" commandType="0"/>
  </connection>
  <connection id="1062" xr16:uid="{4C1E1CDC-0B24-45A1-BD3B-1CABBBD977ED}" keepAlive="1" name="Connection837" type="5" refreshedVersion="0" saveData="1">
    <dbPr connection="Provider=Microsoft.Mashup.OleDb.1;Data Source=$Workbook$;Location=&quot;183727270717_01&quot;;Extended Properties=&quot;&quot;" commandType="0"/>
  </connection>
  <connection id="1063" xr16:uid="{A97BE1F3-CD39-4371-B32A-210816D9E080}" keepAlive="1" name="Connection838" type="5" refreshedVersion="0" background="1">
    <dbPr connection="Provider=Microsoft.Mashup.OleDb.1;Data Source=$Workbook$;Location=&quot;183727270717_04&quot;;Extended Properties=&quot;&quot;" commandType="0"/>
  </connection>
  <connection id="1064" xr16:uid="{C674CE6A-3082-4D59-9114-29BDE1E96158}" keepAlive="1" name="Connection839" type="5" refreshedVersion="0" background="1">
    <dbPr connection="Provider=Microsoft.Mashup.OleDb.1;Data Source=$Workbook$;Location=&quot;392325345130_01&quot;;Extended Properties=&quot;&quot;" commandType="0"/>
  </connection>
  <connection id="1065" xr16:uid="{5993696F-0DD5-40B4-B504-41AB1FE9A14C}" keepAlive="1" name="Connection84" type="5" refreshedVersion="0" background="1">
    <dbPr connection="Provider=Microsoft.Mashup.OleDb.1;Data Source=$Workbook$;Location=&quot;123578321012_01&quot;;Extended Properties=&quot;&quot;" commandType="0"/>
  </connection>
  <connection id="1066" xr16:uid="{A2B083DA-7B3D-4AD3-BF34-8AB9C25BF333}" keepAlive="1" name="Connection840" type="5" refreshedVersion="0" background="1">
    <dbPr connection="Provider=Microsoft.Mashup.OleDb.1;Data Source=$Workbook$;Location=&quot;123877781742_01&quot;;Extended Properties=&quot;&quot;" commandType="0"/>
  </connection>
  <connection id="1067" xr16:uid="{A8E988A2-5C35-4487-AEB0-3B06886D77C7}" keepAlive="1" name="Connection841" type="5" refreshedVersion="0" background="1">
    <dbPr connection="Provider=Microsoft.Mashup.OleDb.1;Data Source=$Workbook$;Location=&quot;123877781742_04&quot;;Extended Properties=&quot;&quot;" commandType="0"/>
  </connection>
  <connection id="1068" xr16:uid="{EF535B90-09AC-4620-89C0-57EABECA7623}" keepAlive="1" name="Connection842" type="5" refreshedVersion="0" background="1">
    <dbPr connection="Provider=Microsoft.Mashup.OleDb.1;Data Source=$Workbook$;Location=&quot;165309183266_01&quot;;Extended Properties=&quot;&quot;" commandType="0"/>
  </connection>
  <connection id="1069" xr16:uid="{23FEE83F-7DBA-4DF0-A176-C3EAA6B78F75}" keepAlive="1" name="Connection843" type="5" refreshedVersion="0" background="1">
    <dbPr connection="Provider=Microsoft.Mashup.OleDb.1;Data Source=$Workbook$;Location=&quot;165309183266_04&quot;;Extended Properties=&quot;&quot;" commandType="0"/>
  </connection>
  <connection id="1070" xr16:uid="{8E64D026-DE4B-4C87-9B95-3DEA2BA1E1F9}" keepAlive="1" name="Connection844" type="5" refreshedVersion="0" background="1">
    <dbPr connection="Provider=Microsoft.Mashup.OleDb.1;Data Source=$Workbook$;Location=&quot;167154918881_01&quot;;Extended Properties=&quot;&quot;" commandType="0"/>
  </connection>
  <connection id="1071" xr16:uid="{21FCDFB7-3A40-4460-8B96-E6B26DA012CA}" keepAlive="1" name="Connection845" type="5" refreshedVersion="0" background="1">
    <dbPr connection="Provider=Microsoft.Mashup.OleDb.1;Data Source=$Workbook$;Location=&quot;167154918881_04&quot;;Extended Properties=&quot;&quot;" commandType="0"/>
  </connection>
  <connection id="1072" xr16:uid="{439ED14D-7BCA-4E92-B2EA-DEBDDE2DB74F}" keepAlive="1" name="Connection846" type="5" refreshedVersion="0" background="1">
    <dbPr connection="Provider=Microsoft.Mashup.OleDb.1;Data Source=$Workbook$;Location=&quot;180954005934_01&quot;;Extended Properties=&quot;&quot;" commandType="0"/>
  </connection>
  <connection id="1073" xr16:uid="{911F9DDA-C1E1-4B29-B5E8-FD6A51398735}" keepAlive="1" name="Connection847" type="5" refreshedVersion="0" background="1">
    <dbPr connection="Provider=Microsoft.Mashup.OleDb.1;Data Source=$Workbook$;Location=&quot;180954005934_04&quot;;Extended Properties=&quot;&quot;" commandType="0"/>
  </connection>
  <connection id="1074" xr16:uid="{FF29869E-1676-4C89-B38B-37D334F0C677}" keepAlive="1" name="Connection848" type="5" refreshedVersion="0" background="1">
    <dbPr connection="Provider=Microsoft.Mashup.OleDb.1;Data Source=$Workbook$;Location=&quot;261248911426321_01&quot;;Extended Properties=&quot;&quot;" commandType="0"/>
  </connection>
  <connection id="1075" xr16:uid="{9952CE35-7E52-4D97-B2F4-871005AF7846}" keepAlive="1" name="Connection849" type="5" refreshedVersion="0" background="1">
    <dbPr connection="Provider=Microsoft.Mashup.OleDb.1;Data Source=$Workbook$;Location=&quot;261248911426321_04&quot;;Extended Properties=&quot;&quot;" commandType="0"/>
  </connection>
  <connection id="1076" xr16:uid="{D69D8DA8-5135-47F9-AC31-B67CD0A32C18}" keepAlive="1" name="Connection85" type="5" refreshedVersion="0" background="1">
    <dbPr connection="Provider=Microsoft.Mashup.OleDb.1;Data Source=$Workbook$;Location=&quot;123578321012_04&quot;;Extended Properties=&quot;&quot;" commandType="0"/>
  </connection>
  <connection id="1077" xr16:uid="{0A882A5E-4CC9-4402-A4BB-108D2FBCBD08}" keepAlive="1" name="Connection850" type="5" refreshedVersion="0" background="1">
    <dbPr connection="Provider=Microsoft.Mashup.OleDb.1;Data Source=$Workbook$;Location=&quot;391730017191_01&quot;;Extended Properties=&quot;&quot;" commandType="0"/>
  </connection>
  <connection id="1078" xr16:uid="{872F63B2-F88F-4B08-9E49-DB85DBC59C37}" keepAlive="1" name="Connection851" type="5" refreshedVersion="0" background="1">
    <dbPr connection="Provider=Microsoft.Mashup.OleDb.1;Data Source=$Workbook$;Location=&quot;391730017191_04&quot;;Extended Properties=&quot;&quot;" commandType="0"/>
  </connection>
  <connection id="1079" xr16:uid="{E7ECBF65-404F-47A5-B3A0-FAA7E37F4141}" keepAlive="1" name="Connection852" type="5" refreshedVersion="0" background="1">
    <dbPr connection="Provider=Microsoft.Mashup.OleDb.1;Data Source=$Workbook$;Location=&quot;391748064144_01&quot;;Extended Properties=&quot;&quot;" commandType="0"/>
  </connection>
  <connection id="1080" xr16:uid="{DAF05E9E-B85B-4354-ADFF-C4073128BBE5}" keepAlive="1" name="Connection853" type="5" refreshedVersion="0" background="1">
    <dbPr connection="Provider=Microsoft.Mashup.OleDb.1;Data Source=$Workbook$;Location=&quot;391748064144_04&quot;;Extended Properties=&quot;&quot;" commandType="0"/>
  </connection>
  <connection id="1081" xr16:uid="{4B15036E-D505-4F90-94EB-B64DFEEDC2A2}" keepAlive="1" name="Connection854" type="5" refreshedVersion="0" background="1">
    <dbPr connection="Provider=Microsoft.Mashup.OleDb.1;Data Source=$Workbook$;Location=&quot;391945152643_01&quot;;Extended Properties=&quot;&quot;" commandType="0"/>
  </connection>
  <connection id="1082" xr16:uid="{0423021E-7074-4595-BDFF-0E69F368478B}" keepAlive="1" name="Connection855" type="5" refreshedVersion="0" background="1">
    <dbPr connection="Provider=Microsoft.Mashup.OleDb.1;Data Source=$Workbook$;Location=&quot;391945152643_04&quot;;Extended Properties=&quot;&quot;" commandType="0"/>
  </connection>
  <connection id="1083" xr16:uid="{83C46104-5210-44F7-A5D4-ECCE0A3C2E2F}" keepAlive="1" name="Connection856" type="5" refreshedVersion="0" background="1">
    <dbPr connection="Provider=Microsoft.Mashup.OleDb.1;Data Source=$Workbook$;Location=&quot;392102573942_01&quot;;Extended Properties=&quot;&quot;" commandType="0"/>
  </connection>
  <connection id="1084" xr16:uid="{D5A2EB6F-A772-4A63-AA14-379764F053C4}" keepAlive="1" name="Connection857" type="5" refreshedVersion="0" background="1">
    <dbPr connection="Provider=Microsoft.Mashup.OleDb.1;Data Source=$Workbook$;Location=&quot;392102573942_04&quot;;Extended Properties=&quot;&quot;" commandType="0"/>
  </connection>
  <connection id="1085" xr16:uid="{6BEB8122-7899-424F-98FE-A28943C81619}" keepAlive="1" name="Connection858" type="5" refreshedVersion="0" background="1">
    <dbPr connection="Provider=Microsoft.Mashup.OleDb.1;Data Source=$Workbook$;Location=&quot;392151910763_01&quot;;Extended Properties=&quot;&quot;" commandType="0"/>
  </connection>
  <connection id="1086" xr16:uid="{79F05262-231B-4E4B-838F-7D5EC3E9FDCC}" keepAlive="1" name="Connection859" type="5" refreshedVersion="0" background="1">
    <dbPr connection="Provider=Microsoft.Mashup.OleDb.1;Data Source=$Workbook$;Location=&quot;392151910763_04&quot;;Extended Properties=&quot;&quot;" commandType="0"/>
  </connection>
  <connection id="1087" xr16:uid="{79E79554-18CD-4EFB-9D7D-5B1890C778B1}" keepAlive="1" name="Connection86" type="5" refreshedVersion="0" background="1">
    <dbPr connection="Provider=Microsoft.Mashup.OleDb.1;Data Source=$Workbook$;Location=&quot;123578321012_01&quot;;Extended Properties=&quot;&quot;" commandType="0"/>
  </connection>
  <connection id="1088" xr16:uid="{99DCE18B-B261-4892-91D0-84481C529163}" keepAlive="1" name="Connection860" type="5" refreshedVersion="0" saveData="1">
    <dbPr connection="Provider=Microsoft.Mashup.OleDb.1;Data Source=$Workbook$;Location=&quot;392270310879_01&quot;;Extended Properties=&quot;&quot;" commandType="0"/>
  </connection>
  <connection id="1089" xr16:uid="{C731CCFB-78C5-4E49-BE6A-50268D654E7C}" keepAlive="1" name="Connection861" type="5" refreshedVersion="0" background="1">
    <dbPr connection="Provider=Microsoft.Mashup.OleDb.1;Data Source=$Workbook$;Location=&quot;392270310879_04&quot;;Extended Properties=&quot;&quot;" commandType="0"/>
  </connection>
  <connection id="1090" xr16:uid="{4A31CD29-EB68-4085-B36D-2BDF802A5BDA}" keepAlive="1" name="Connection862" type="5" refreshedVersion="0" background="1">
    <dbPr connection="Provider=Microsoft.Mashup.OleDb.1;Data Source=$Workbook$;Location=&quot;392274247423_01&quot;;Extended Properties=&quot;&quot;" commandType="0"/>
  </connection>
  <connection id="1091" xr16:uid="{5B03B30C-BB13-41E9-B0B0-CC357CCA11B9}" keepAlive="1" name="Connection863" type="5" refreshedVersion="0" background="1">
    <dbPr connection="Provider=Microsoft.Mashup.OleDb.1;Data Source=$Workbook$;Location=&quot;392274247423_04&quot;;Extended Properties=&quot;&quot;" commandType="0"/>
  </connection>
  <connection id="1092" xr16:uid="{8662637E-2398-4B39-8EEA-9BD52F47AC6E}" keepAlive="1" name="Connection864" type="5" refreshedVersion="0" background="1">
    <dbPr connection="Provider=Microsoft.Mashup.OleDb.1;Data Source=$Workbook$;Location=&quot;392352898278_01&quot;;Extended Properties=&quot;&quot;" commandType="0"/>
  </connection>
  <connection id="1093" xr16:uid="{1222604C-2E50-4CC5-8F2D-763B486E293E}" keepAlive="1" name="Connection865" type="5" refreshedVersion="0" background="1">
    <dbPr connection="Provider=Microsoft.Mashup.OleDb.1;Data Source=$Workbook$;Location=&quot;392352898278_04&quot;;Extended Properties=&quot;&quot;" commandType="0"/>
  </connection>
  <connection id="1094" xr16:uid="{030D58D2-D076-4DAD-9AAB-AD584D732A0C}" keepAlive="1" name="Connection866" type="5" refreshedVersion="0" background="1">
    <dbPr connection="Provider=Microsoft.Mashup.OleDb.1;Data Source=$Workbook$;Location=&quot;392361259886_01&quot;;Extended Properties=&quot;&quot;" commandType="0"/>
  </connection>
  <connection id="1095" xr16:uid="{944CFFA1-3602-476C-AF7D-38E5FEDF25DA}" keepAlive="1" name="Connection867" type="5" refreshedVersion="0" background="1">
    <dbPr connection="Provider=Microsoft.Mashup.OleDb.1;Data Source=$Workbook$;Location=&quot;392361259886_04&quot;;Extended Properties=&quot;&quot;" commandType="0"/>
  </connection>
  <connection id="1096" xr16:uid="{FD02DDE3-EB41-4790-A2DE-DAC7ECCA085E}" keepAlive="1" name="Connection868" type="5" refreshedVersion="0" background="1">
    <dbPr connection="Provider=Microsoft.Mashup.OleDb.1;Data Source=$Workbook$;Location=&quot;392369912833_01&quot;;Extended Properties=&quot;&quot;" commandType="0"/>
  </connection>
  <connection id="1097" xr16:uid="{1D7D2016-9F28-426F-8426-B889DC0BCAF6}" keepAlive="1" name="Connection869" type="5" refreshedVersion="0" background="1">
    <dbPr connection="Provider=Microsoft.Mashup.OleDb.1;Data Source=$Workbook$;Location=&quot;392369912833_04&quot;;Extended Properties=&quot;&quot;" commandType="0"/>
  </connection>
  <connection id="1098" xr16:uid="{BB76C48C-13B6-4E68-9351-7086839F8937}" keepAlive="1" name="Connection87" type="5" refreshedVersion="0" background="1">
    <dbPr connection="Provider=Microsoft.Mashup.OleDb.1;Data Source=$Workbook$;Location=&quot;123578321012_04&quot;;Extended Properties=&quot;&quot;" commandType="0"/>
  </connection>
  <connection id="1099" xr16:uid="{43B8D47D-4E38-4901-A2CE-B659EA666270}" keepAlive="1" name="Connection870" type="5" refreshedVersion="0" background="1">
    <dbPr connection="Provider=Microsoft.Mashup.OleDb.1;Data Source=$Workbook$;Location=&quot;392375832091_01&quot;;Extended Properties=&quot;&quot;" commandType="0"/>
  </connection>
  <connection id="1100" xr16:uid="{349E67A7-5E7E-4C84-B74F-30BCD04D076F}" keepAlive="1" name="Connection871" type="5" refreshedVersion="0" background="1">
    <dbPr connection="Provider=Microsoft.Mashup.OleDb.1;Data Source=$Workbook$;Location=&quot;392525385585_01&quot;;Extended Properties=&quot;&quot;" commandType="0"/>
  </connection>
  <connection id="1101" xr16:uid="{3510442E-0B8D-47B2-AB2E-4078B45E93E9}" keepAlive="1" name="Connection872" type="5" refreshedVersion="0" background="1">
    <dbPr connection="Provider=Microsoft.Mashup.OleDb.1;Data Source=$Workbook$;Location=&quot;392526763452_01&quot;;Extended Properties=&quot;&quot;" commandType="0"/>
  </connection>
  <connection id="1102" xr16:uid="{13A02869-F567-412F-B2AD-C36A44F713A0}" keepAlive="1" name="Connection873" type="5" refreshedVersion="0" background="1">
    <dbPr connection="Provider=Microsoft.Mashup.OleDb.1;Data Source=$Workbook$;Location=&quot;392547665760_01&quot;;Extended Properties=&quot;&quot;" commandType="0"/>
  </connection>
  <connection id="1103" xr16:uid="{5868940C-C845-4F4D-8C76-C76FDBAA2406}" keepAlive="1" name="Connection874" type="5" refreshedVersion="0" background="1">
    <dbPr connection="Provider=Microsoft.Mashup.OleDb.1;Data Source=$Workbook$;Location=&quot;392605974438_01&quot;;Extended Properties=&quot;&quot;" commandType="0"/>
  </connection>
  <connection id="1104" xr16:uid="{520C3071-E823-498D-9738-0E8D0FA169DE}" keepAlive="1" name="Connection875" type="5" refreshedVersion="0" background="1">
    <dbPr connection="Provider=Microsoft.Mashup.OleDb.1;Data Source=$Workbook$;Location=&quot;392645349802_01&quot;;Extended Properties=&quot;&quot;" commandType="0"/>
  </connection>
  <connection id="1105" xr16:uid="{A2374915-B627-49EE-A1F0-1B51F8855B07}" keepAlive="1" name="Connection876" type="5" refreshedVersion="0" background="1">
    <dbPr connection="Provider=Microsoft.Mashup.OleDb.1;Data Source=$Workbook$;Location=&quot;392645350541_01&quot;;Extended Properties=&quot;&quot;" commandType="0"/>
  </connection>
  <connection id="1106" xr16:uid="{5CF59E19-127D-4671-B96B-E954A93B5A6E}" keepAlive="1" name="Connection877" type="5" refreshedVersion="0" background="1">
    <dbPr connection="Provider=Microsoft.Mashup.OleDb.1;Data Source=$Workbook$;Location=&quot;392645350541_01&quot;;Extended Properties=&quot;&quot;" commandType="0"/>
  </connection>
  <connection id="1107" xr16:uid="{2030F24B-2C2A-4858-B68A-7CF1EBED1632}" keepAlive="1" name="Connection878" type="5" refreshedVersion="0" background="1">
    <dbPr connection="Provider=Microsoft.Mashup.OleDb.1;Data Source=$Workbook$;Location=&quot;392663527272_01&quot;;Extended Properties=&quot;&quot;" commandType="0"/>
  </connection>
  <connection id="1108" xr16:uid="{A16BBDC8-9AA1-44E7-A9C3-AE8C0C11F26A}" keepAlive="1" name="Connection879" type="5" refreshedVersion="0" background="1">
    <dbPr connection="Provider=Microsoft.Mashup.OleDb.1;Data Source=$Workbook$;Location=&quot;392663527272_04&quot;;Extended Properties=&quot;&quot;" commandType="0"/>
  </connection>
  <connection id="1109" xr16:uid="{981B80ED-7445-4077-B0F2-19330E8C746B}" keepAlive="1" name="Connection88" type="5" refreshedVersion="0" background="1">
    <dbPr connection="Provider=Microsoft.Mashup.OleDb.1;Data Source=$Workbook$;Location=&quot;123578321012_01&quot;;Extended Properties=&quot;&quot;" commandType="0"/>
  </connection>
  <connection id="1110" xr16:uid="{270E6056-8005-41EA-B33B-AC753C18D09A}" keepAlive="1" name="Connection880" type="5" refreshedVersion="0" background="1">
    <dbPr connection="Provider=Microsoft.Mashup.OleDb.1;Data Source=$Workbook$;Location=&quot;392860960441_01&quot;;Extended Properties=&quot;&quot;" commandType="0"/>
  </connection>
  <connection id="1111" xr16:uid="{BF139D92-40E8-4029-819B-DE2FF5211421}" keepAlive="1" name="Connection881" type="5" refreshedVersion="0" background="1">
    <dbPr connection="Provider=Microsoft.Mashup.OleDb.1;Data Source=$Workbook$;Location=&quot;747087177518_01&quot;;Extended Properties=&quot;&quot;" commandType="0"/>
  </connection>
  <connection id="1112" xr16:uid="{B2585621-8C77-4D49-8833-CA22F81831D8}" keepAlive="1" name="Connection882" type="5" refreshedVersion="0" background="1">
    <dbPr connection="Provider=Microsoft.Mashup.OleDb.1;Data Source=$Workbook$;Location=&quot;770187751088_01&quot;;Extended Properties=&quot;&quot;" commandType="0"/>
  </connection>
  <connection id="1113" xr16:uid="{F9DEBDB0-E8E9-4E9F-B395-FF92BFB2C310}" keepAlive="1" name="Connection883" type="5" refreshedVersion="0" background="1">
    <dbPr connection="Provider=Microsoft.Mashup.OleDb.1;Data Source=$Workbook$;Location=&quot;770187751088_04&quot;;Extended Properties=&quot;&quot;" commandType="0"/>
  </connection>
  <connection id="1114" xr16:uid="{D33C000F-485E-41FD-9536-EB192EFA2458}" keepAlive="1" name="Connection884" type="5" refreshedVersion="0" background="1">
    <dbPr connection="Provider=Microsoft.Mashup.OleDb.1;Data Source=$Workbook$;Location=&quot;770355308411_01&quot;;Extended Properties=&quot;&quot;" commandType="0"/>
  </connection>
  <connection id="1115" xr16:uid="{5F89532F-377D-4B31-8162-CABEFEC9B9B2}" keepAlive="1" name="Connection885" type="5" refreshedVersion="0" background="1">
    <dbPr connection="Provider=Microsoft.Mashup.OleDb.1;Data Source=$Workbook$;Location=&quot;770355308411_04&quot;;Extended Properties=&quot;&quot;" commandType="0"/>
  </connection>
  <connection id="1116" xr16:uid="{572448CA-A794-435F-8EBA-3B7B7CD09418}" keepAlive="1" name="Connection886" type="5" refreshedVersion="0" background="1">
    <dbPr connection="Provider=Microsoft.Mashup.OleDb.1;Data Source=$Workbook$;Location=&quot;770404161420_01&quot;;Extended Properties=&quot;&quot;" commandType="0"/>
  </connection>
  <connection id="1117" xr16:uid="{4181530B-54AC-4A2C-9ABA-C039E20060AB}" keepAlive="1" name="Connection887" type="5" refreshedVersion="0" background="1">
    <dbPr connection="Provider=Microsoft.Mashup.OleDb.1;Data Source=$Workbook$;Location=&quot;778122646458_01&quot;;Extended Properties=&quot;&quot;" commandType="0"/>
  </connection>
  <connection id="1118" xr16:uid="{94F02D89-49B2-496D-9012-94ADF71F2CC3}" keepAlive="1" name="Connection888" type="5" refreshedVersion="0" background="1">
    <dbPr connection="Provider=Microsoft.Mashup.OleDb.1;Data Source=$Workbook$;Location=&quot;778122646458_04&quot;;Extended Properties=&quot;&quot;" commandType="0"/>
  </connection>
  <connection id="1119" xr16:uid="{49F51C85-D355-46C6-9737-D7D49079D4D1}" keepAlive="1" name="Connection889" type="5" refreshedVersion="0" background="1">
    <dbPr connection="Provider=Microsoft.Mashup.OleDb.1;Data Source=$Workbook$;Location=&quot;981345817458825_01&quot;;Extended Properties=&quot;&quot;" commandType="0"/>
  </connection>
  <connection id="1120" xr16:uid="{D860D5DF-CB5C-4497-AE57-920875309143}" keepAlive="1" name="Connection89" type="5" refreshedVersion="0" background="1">
    <dbPr connection="Provider=Microsoft.Mashup.OleDb.1;Data Source=$Workbook$;Location=&quot;123578321012_04&quot;;Extended Properties=&quot;&quot;" commandType="0"/>
  </connection>
  <connection id="1121" xr16:uid="{70F316B7-32F9-4F0A-A78C-210D81911FE2}" keepAlive="1" name="Connection890" type="5" refreshedVersion="0" background="1">
    <dbPr connection="Provider=Microsoft.Mashup.OleDb.1;Data Source=$Workbook$;Location=&quot;981345817458825_04&quot;;Extended Properties=&quot;&quot;" commandType="0"/>
  </connection>
  <connection id="1122" xr16:uid="{1269A6FD-092B-46AA-BA7C-64E9279E5543}" keepAlive="1" name="Connection891" type="5" refreshedVersion="0" background="1">
    <dbPr connection="Provider=Microsoft.Mashup.OleDb.1;Data Source=$Workbook$;Location=&quot;981345817630047_01&quot;;Extended Properties=&quot;&quot;" commandType="0"/>
  </connection>
  <connection id="1123" xr16:uid="{45A92B12-86A2-4E7D-9694-C083725C7F35}" keepAlive="1" name="Connection892" type="5" refreshedVersion="0" background="1">
    <dbPr connection="Provider=Microsoft.Mashup.OleDb.1;Data Source=$Workbook$;Location=&quot;981345817630047_04&quot;;Extended Properties=&quot;&quot;" commandType="0"/>
  </connection>
  <connection id="1124" xr16:uid="{E0EB3759-ABF5-413E-938E-B0344BA0BDC3}" keepAlive="1" name="Connection893" type="5" refreshedVersion="0" saveData="1">
    <dbPr connection="Provider=Microsoft.Mashup.OleDb.1;Data Source=$Workbook$;Location=&quot;392605974438_01&quot;;Extended Properties=&quot;&quot;" commandType="0"/>
  </connection>
  <connection id="1125" xr16:uid="{3FAEE396-7D56-4AF6-BF6F-CDD5C4CA4ACD}" keepAlive="1" name="Connection894" type="5" refreshedVersion="0" background="1">
    <dbPr connection="Provider=Microsoft.Mashup.OleDb.1;Data Source=$Workbook$;Location=&quot;392102573942_01&quot;;Extended Properties=&quot;&quot;" commandType="0"/>
  </connection>
  <connection id="1126" xr16:uid="{CC7B4D43-2041-4B53-9CAB-7A922300752C}" keepAlive="1" name="Connection895" type="5" refreshedVersion="0" background="1">
    <dbPr connection="Provider=Microsoft.Mashup.OleDb.1;Data Source=$Workbook$;Location=&quot;392102573942_04&quot;;Extended Properties=&quot;&quot;" commandType="0"/>
  </connection>
  <connection id="1127" xr16:uid="{DCA4B3ED-F521-4CF7-9BC6-5275C11D3593}" keepAlive="1" name="Connection896" type="5" refreshedVersion="0" background="1">
    <dbPr connection="Provider=Microsoft.Mashup.OleDb.1;Data Source=$Workbook$;Location=&quot;392151910763_01&quot;;Extended Properties=&quot;&quot;" commandType="0"/>
  </connection>
  <connection id="1128" xr16:uid="{D45AF9A5-06CE-40D5-88E3-BDD1F6E93B9E}" keepAlive="1" name="Connection897" type="5" refreshedVersion="0" background="1">
    <dbPr connection="Provider=Microsoft.Mashup.OleDb.1;Data Source=$Workbook$;Location=&quot;392151910763_04&quot;;Extended Properties=&quot;&quot;" commandType="0"/>
  </connection>
  <connection id="1129" xr16:uid="{DF149286-88CA-4000-AFB4-B5F30AC66C43}" keepAlive="1" name="Connection898" type="5" refreshedVersion="0" background="1">
    <dbPr connection="Provider=Microsoft.Mashup.OleDb.1;Data Source=$Workbook$;Location=&quot;392270310879_01&quot;;Extended Properties=&quot;&quot;" commandType="0"/>
  </connection>
  <connection id="1130" xr16:uid="{4C470654-B52C-4CF6-8BE3-A444F2340EC2}" keepAlive="1" name="Connection899" type="5" refreshedVersion="0" background="1">
    <dbPr connection="Provider=Microsoft.Mashup.OleDb.1;Data Source=$Workbook$;Location=&quot;392270310879_04&quot;;Extended Properties=&quot;&quot;" commandType="0"/>
  </connection>
  <connection id="1131" xr16:uid="{D75B546D-8B93-4D8A-AFF5-B93E5EEF0B7A}" keepAlive="1" name="Connection9" type="5" refreshedVersion="0" saveData="1">
    <dbPr connection="Provider=Microsoft.Mashup.OleDb.1;Data Source=$Workbook$;Location=&quot;391309290024&quot;;Extended Properties=&quot;&quot;" commandType="0"/>
  </connection>
  <connection id="1132" xr16:uid="{D85F6577-11C0-464B-81F4-ABC6738D7F49}" keepAlive="1" name="Connection90" type="5" refreshedVersion="0" background="1">
    <dbPr connection="Provider=Microsoft.Mashup.OleDb.1;Data Source=$Workbook$;Location=&quot;123578321012_01&quot;;Extended Properties=&quot;&quot;" commandType="0"/>
  </connection>
  <connection id="1133" xr16:uid="{6AC61BD7-F654-48DF-BDFA-E3DD229BD140}" keepAlive="1" name="Connection900" type="5" refreshedVersion="0" saveData="1">
    <dbPr connection="Provider=Microsoft.Mashup.OleDb.1;Data Source=$Workbook$;Location=&quot;392605974438_01&quot;;Extended Properties=&quot;&quot;" commandType="0"/>
  </connection>
  <connection id="1134" xr16:uid="{3E0C9ABF-8978-4E7C-BC2E-786CFA48DB3F}" keepAlive="1" name="Connection901" type="5" refreshedVersion="0" background="1">
    <dbPr connection="Provider=Microsoft.Mashup.OleDb.1;Data Source=$Workbook$;Location=&quot;392547665760_01&quot;;Extended Properties=&quot;&quot;" commandType="0"/>
  </connection>
  <connection id="1135" xr16:uid="{36365D71-0F17-427F-ACAD-CE5ABBFEC264}" keepAlive="1" name="Connection902" type="5" refreshedVersion="0" background="1">
    <dbPr connection="Provider=Microsoft.Mashup.OleDb.1;Data Source=$Workbook$;Location=&quot;392547665760_04&quot;;Extended Properties=&quot;&quot;" commandType="0"/>
  </connection>
  <connection id="1136" xr16:uid="{4049853F-0B14-46AF-84C4-B8AB48BA18F1}" keepAlive="1" name="Connection903" type="5" refreshedVersion="0" background="1">
    <dbPr connection="Provider=Microsoft.Mashup.OleDb.1;Data Source=$Workbook$;Location=&quot;392645349802_01&quot;;Extended Properties=&quot;&quot;" commandType="0"/>
  </connection>
  <connection id="1137" xr16:uid="{CA258DFC-E6DE-40CE-B33D-BF1D5358C1F0}" keepAlive="1" name="Connection904" type="5" refreshedVersion="0" saveData="1">
    <dbPr connection="Provider=Microsoft.Mashup.OleDb.1;Data Source=$Workbook$;Location=&quot;392645349802_01&quot;;Extended Properties=&quot;&quot;" commandType="0"/>
  </connection>
  <connection id="1138" xr16:uid="{0BC31B57-53EC-4AA4-8BC8-72B6CC114A45}" keepAlive="1" name="Connection905" type="5" refreshedVersion="0" background="1">
    <dbPr connection="Provider=Microsoft.Mashup.OleDb.1;Data Source=$Workbook$;Location=&quot;392645349802_04&quot;;Extended Properties=&quot;&quot;" commandType="0"/>
  </connection>
  <connection id="1139" xr16:uid="{9739C5DB-23EF-4418-83CA-42B2B4D01C18}" keepAlive="1" name="Connection906" type="5" refreshedVersion="0" background="1">
    <dbPr connection="Provider=Microsoft.Mashup.OleDb.1;Data Source=$Workbook$;Location=&quot;392645350541_01&quot;;Extended Properties=&quot;&quot;" commandType="0"/>
  </connection>
  <connection id="1140" xr16:uid="{35A0887C-00FF-48D2-ADC8-D82A7CCD08E2}" keepAlive="1" name="Connection907" type="5" refreshedVersion="0" background="1">
    <dbPr connection="Provider=Microsoft.Mashup.OleDb.1;Data Source=$Workbook$;Location=&quot;123877781742_01&quot;;Extended Properties=&quot;&quot;" commandType="0"/>
  </connection>
  <connection id="1141" xr16:uid="{6645EF1B-B6EB-45B6-A64B-2880CD68E029}" keepAlive="1" name="Connection908" type="5" refreshedVersion="0" background="1">
    <dbPr connection="Provider=Microsoft.Mashup.OleDb.1;Data Source=$Workbook$;Location=&quot;123877781742_04&quot;;Extended Properties=&quot;&quot;" commandType="0"/>
  </connection>
  <connection id="1142" xr16:uid="{5AF3D228-86D1-499C-A726-E4585612AC7B}" keepAlive="1" name="Connection909" type="5" refreshedVersion="0" background="1">
    <dbPr connection="Provider=Microsoft.Mashup.OleDb.1;Data Source=$Workbook$;Location=&quot;261248911426321_01&quot;;Extended Properties=&quot;&quot;" commandType="0"/>
  </connection>
  <connection id="1143" xr16:uid="{3F54B862-D956-4644-8A84-3E6F62A1BDD8}" keepAlive="1" name="Connection91" type="5" refreshedVersion="0" background="1">
    <dbPr connection="Provider=Microsoft.Mashup.OleDb.1;Data Source=$Workbook$;Location=&quot;123578321012_04&quot;;Extended Properties=&quot;&quot;" commandType="0"/>
  </connection>
  <connection id="1144" xr16:uid="{5962EFAB-97F3-4838-A654-47D437D9987E}" keepAlive="1" name="Connection910" type="5" refreshedVersion="0" background="1">
    <dbPr connection="Provider=Microsoft.Mashup.OleDb.1;Data Source=$Workbook$;Location=&quot;261248911426321_04&quot;;Extended Properties=&quot;&quot;" commandType="0"/>
  </connection>
  <connection id="1145" xr16:uid="{CC70617F-6D57-4936-8E2A-E58642597E21}" keepAlive="1" name="Connection911" type="5" refreshedVersion="0" background="1">
    <dbPr connection="Provider=Microsoft.Mashup.OleDb.1;Data Source=$Workbook$;Location=&quot;770187751088_01&quot;;Extended Properties=&quot;&quot;" commandType="0"/>
  </connection>
  <connection id="1146" xr16:uid="{1CC9BB39-8576-483D-8EF2-20CB97CCB854}" keepAlive="1" name="Connection912" type="5" refreshedVersion="0" background="1">
    <dbPr connection="Provider=Microsoft.Mashup.OleDb.1;Data Source=$Workbook$;Location=&quot;770187751088_04&quot;;Extended Properties=&quot;&quot;" commandType="0"/>
  </connection>
  <connection id="1147" xr16:uid="{85919418-FEFD-4DDC-A395-A7A4E958D3CD}" keepAlive="1" name="Connection913" type="5" refreshedVersion="0" background="1">
    <dbPr connection="Provider=Microsoft.Mashup.OleDb.1;Data Source=$Workbook$;Location=&quot;778122646458_01&quot;;Extended Properties=&quot;&quot;" commandType="0"/>
  </connection>
  <connection id="1148" xr16:uid="{15B2F72C-E973-4D88-9C50-2E49AEB0011F}" keepAlive="1" name="Connection914" type="5" refreshedVersion="0" background="1">
    <dbPr connection="Provider=Microsoft.Mashup.OleDb.1;Data Source=$Workbook$;Location=&quot;778122646458_04&quot;;Extended Properties=&quot;&quot;" commandType="0"/>
  </connection>
  <connection id="1149" xr16:uid="{F1EB450C-E78A-466E-A329-D38791EFE3C7}" keepAlive="1" name="Connection915" type="5" refreshedVersion="0" background="1">
    <dbPr connection="Provider=Microsoft.Mashup.OleDb.1;Data Source=$Workbook$;Location=&quot;391730017191_01&quot;;Extended Properties=&quot;&quot;" commandType="0"/>
  </connection>
  <connection id="1150" xr16:uid="{E11DE233-04C5-4B86-9F81-78B4DD1B9E75}" keepAlive="1" name="Connection916" type="5" refreshedVersion="0" background="1">
    <dbPr connection="Provider=Microsoft.Mashup.OleDb.1;Data Source=$Workbook$;Location=&quot;391730017191_04&quot;;Extended Properties=&quot;&quot;" commandType="0"/>
  </connection>
  <connection id="1151" xr16:uid="{B0BD0AA7-326F-44AA-A95F-35C076EAC0AC}" keepAlive="1" name="Connection917" type="5" refreshedVersion="0" background="1">
    <dbPr connection="Provider=Microsoft.Mashup.OleDb.1;Data Source=$Workbook$;Location=&quot;392525385585_01&quot;;Extended Properties=&quot;&quot;" commandType="0"/>
  </connection>
  <connection id="1152" xr16:uid="{358BA51F-4C4E-43CB-8AF6-3EF0AA1722BB}" keepAlive="1" name="Connection918" type="5" refreshedVersion="0" background="1">
    <dbPr connection="Provider=Microsoft.Mashup.OleDb.1;Data Source=$Workbook$;Location=&quot;981345817630047_01&quot;;Extended Properties=&quot;&quot;" commandType="0"/>
  </connection>
  <connection id="1153" xr16:uid="{38254F86-358C-4FF0-864E-8CC1647B2016}" keepAlive="1" name="Connection919" type="5" refreshedVersion="0" background="1">
    <dbPr connection="Provider=Microsoft.Mashup.OleDb.1;Data Source=$Workbook$;Location=&quot;981345817630047_04&quot;;Extended Properties=&quot;&quot;" commandType="0"/>
  </connection>
  <connection id="1154" xr16:uid="{A2587508-E075-49C1-BC38-3616355F984B}" keepAlive="1" name="Connection92" type="5" refreshedVersion="0" background="1">
    <dbPr connection="Provider=Microsoft.Mashup.OleDb.1;Data Source=$Workbook$;Location=&quot;123578321012_01&quot;;Extended Properties=&quot;&quot;" commandType="0"/>
  </connection>
  <connection id="1155" xr16:uid="{8E044BAE-8C2C-437E-BAEC-9F1930DA4D5D}" keepAlive="1" name="Connection920" type="5" refreshedVersion="0" background="1">
    <dbPr connection="Provider=Microsoft.Mashup.OleDb.1;Data Source=$Workbook$;Location=&quot;180954005934_01&quot;;Extended Properties=&quot;&quot;" commandType="0"/>
  </connection>
  <connection id="1156" xr16:uid="{05197393-70D2-4F66-8169-4145B7ECFA78}" keepAlive="1" name="Connection921" type="5" refreshedVersion="0" background="1">
    <dbPr connection="Provider=Microsoft.Mashup.OleDb.1;Data Source=$Workbook$;Location=&quot;180954005934_04&quot;;Extended Properties=&quot;&quot;" commandType="0"/>
  </connection>
  <connection id="1157" xr16:uid="{CDF22369-21D3-4C0D-B7BD-4437A9AA5E9E}" keepAlive="1" name="Connection922" type="5" refreshedVersion="0" background="1">
    <dbPr connection="Provider=Microsoft.Mashup.OleDb.1;Data Source=$Workbook$;Location=&quot;391748064144_01&quot;;Extended Properties=&quot;&quot;" commandType="0"/>
  </connection>
  <connection id="1158" xr16:uid="{B2E8FC45-3CC1-41F4-958C-31E757DF69EA}" keepAlive="1" name="Connection923" type="5" refreshedVersion="0" background="1">
    <dbPr connection="Provider=Microsoft.Mashup.OleDb.1;Data Source=$Workbook$;Location=&quot;391748064144_04&quot;;Extended Properties=&quot;&quot;" commandType="0"/>
  </connection>
  <connection id="1159" xr16:uid="{8E1B5F76-F068-4F37-A23C-D641BBC8A141}" keepAlive="1" name="Connection924" type="5" refreshedVersion="0" background="1">
    <dbPr connection="Provider=Microsoft.Mashup.OleDb.1;Data Source=$Workbook$;Location=&quot;392375832091_01&quot;;Extended Properties=&quot;&quot;" commandType="0"/>
  </connection>
  <connection id="1160" xr16:uid="{FB4432FC-B4EA-4728-BC90-F2AAFE25583A}" keepAlive="1" name="Connection925" type="5" refreshedVersion="0" background="1">
    <dbPr connection="Provider=Microsoft.Mashup.OleDb.1;Data Source=$Workbook$;Location=&quot;392375832091_04&quot;;Extended Properties=&quot;&quot;" commandType="0"/>
  </connection>
  <connection id="1161" xr16:uid="{D302DC8A-9713-46EA-B8D0-726AE7D5FB8E}" keepAlive="1" name="Connection926" type="5" refreshedVersion="0" background="1">
    <dbPr connection="Provider=Microsoft.Mashup.OleDb.1;Data Source=$Workbook$;Location=&quot;392526763452_01&quot;;Extended Properties=&quot;&quot;" commandType="0"/>
  </connection>
  <connection id="1162" xr16:uid="{E14C87E8-DB53-4731-B0F7-0AF259FF2DC2}" keepAlive="1" name="Connection927" type="5" refreshedVersion="0" background="1">
    <dbPr connection="Provider=Microsoft.Mashup.OleDb.1;Data Source=$Workbook$;Location=&quot;392526763452_04&quot;;Extended Properties=&quot;&quot;" commandType="0"/>
  </connection>
  <connection id="1163" xr16:uid="{EF245E7A-0E3B-4C39-B703-7F1A3A747D5C}" keepAlive="1" name="Connection928" type="5" refreshedVersion="0" background="1">
    <dbPr connection="Provider=Microsoft.Mashup.OleDb.1;Data Source=$Workbook$;Location=&quot;981345817458825_01&quot;;Extended Properties=&quot;&quot;" commandType="0"/>
  </connection>
  <connection id="1164" xr16:uid="{1A1790A1-7466-4D1B-99E7-3EF6041644AD}" keepAlive="1" name="Connection929" type="5" refreshedVersion="0" background="1">
    <dbPr connection="Provider=Microsoft.Mashup.OleDb.1;Data Source=$Workbook$;Location=&quot;981345817458825_04&quot;;Extended Properties=&quot;&quot;" commandType="0"/>
  </connection>
  <connection id="1165" xr16:uid="{613B3F1E-A8AA-4891-AA91-9C2AA4C5E323}" keepAlive="1" name="Connection93" type="5" refreshedVersion="0" background="1">
    <dbPr connection="Provider=Microsoft.Mashup.OleDb.1;Data Source=$Workbook$;Location=&quot;123578321012_04&quot;;Extended Properties=&quot;&quot;" commandType="0"/>
  </connection>
  <connection id="1166" xr16:uid="{D38E4EF9-1F63-472C-A92C-5D8E072C0B11}" keepAlive="1" name="Connection930" type="5" refreshedVersion="0" saveData="1">
    <dbPr connection="Provider=Microsoft.Mashup.OleDb.1;Data Source=$Workbook$;Location=&quot;111070172097_01&quot;;Extended Properties=&quot;&quot;" commandType="0"/>
  </connection>
  <connection id="1167" xr16:uid="{3F924FEA-3BA8-4283-902C-BE2505D89EBA}" keepAlive="1" name="Connection931" type="5" refreshedVersion="0" background="1">
    <dbPr connection="Provider=Microsoft.Mashup.OleDb.1;Data Source=$Workbook$;Location=&quot;111070172097_04&quot;;Extended Properties=&quot;&quot;" commandType="0"/>
  </connection>
  <connection id="1168" xr16:uid="{3E603C86-86A1-45BC-A2EF-37151B6C8A72}" keepAlive="1" name="Connection932" type="5" refreshedVersion="0" background="1">
    <dbPr connection="Provider=Microsoft.Mashup.OleDb.1;Data Source=$Workbook$;Location=&quot;119002623090_01&quot;;Extended Properties=&quot;&quot;" commandType="0"/>
  </connection>
  <connection id="1169" xr16:uid="{C2B6C427-9840-463E-A954-80E85ADF0489}" keepAlive="1" name="Connection933" type="5" refreshedVersion="0" background="1">
    <dbPr connection="Provider=Microsoft.Mashup.OleDb.1;Data Source=$Workbook$;Location=&quot;126335474097_01&quot;;Extended Properties=&quot;&quot;" commandType="0"/>
  </connection>
  <connection id="1170" xr16:uid="{69338667-0C14-407C-8D61-EA8FAA471531}" keepAlive="1" name="Connection934" type="5" refreshedVersion="0" background="1">
    <dbPr connection="Provider=Microsoft.Mashup.OleDb.1;Data Source=$Workbook$;Location=&quot;126335474097_04&quot;;Extended Properties=&quot;&quot;" commandType="0"/>
  </connection>
  <connection id="1171" xr16:uid="{9656B1F6-AC56-4B88-8CAC-510CF4A192D2}" keepAlive="1" name="Connection935" type="5" refreshedVersion="0" background="1">
    <dbPr connection="Provider=Microsoft.Mashup.OleDb.1;Data Source=$Workbook$;Location=&quot;170536856031_01&quot;;Extended Properties=&quot;&quot;" commandType="0"/>
  </connection>
  <connection id="1172" xr16:uid="{9B18C2D0-84CC-4809-86E7-A90BA8463122}" keepAlive="1" name="Connection936" type="5" refreshedVersion="0" background="1">
    <dbPr connection="Provider=Microsoft.Mashup.OleDb.1;Data Source=$Workbook$;Location=&quot;170536856031_04&quot;;Extended Properties=&quot;&quot;" commandType="0"/>
  </connection>
  <connection id="1173" xr16:uid="{B03848AD-B4FF-4A85-9FA8-9076AE33757F}" keepAlive="1" name="Connection937" type="5" refreshedVersion="0" background="1">
    <dbPr connection="Provider=Microsoft.Mashup.OleDb.1;Data Source=$Workbook$;Location=&quot;176649872109_01&quot;;Extended Properties=&quot;&quot;" commandType="0"/>
  </connection>
  <connection id="1174" xr16:uid="{E1AAF879-DC03-40B7-AF5D-A1BBC6A41B4A}" keepAlive="1" name="Connection938" type="5" refreshedVersion="0" background="1">
    <dbPr connection="Provider=Microsoft.Mashup.OleDb.1;Data Source=$Workbook$;Location=&quot;176649872109_04&quot;;Extended Properties=&quot;&quot;" commandType="0"/>
  </connection>
  <connection id="1175" xr16:uid="{9B2E824C-A7A4-4954-B48F-246718CD2866}" keepAlive="1" name="Connection939" type="5" refreshedVersion="0" background="1">
    <dbPr connection="Provider=Microsoft.Mashup.OleDb.1;Data Source=$Workbook$;Location=&quot;176649872201_01&quot;;Extended Properties=&quot;&quot;" commandType="0"/>
  </connection>
  <connection id="1176" xr16:uid="{25515285-1602-4023-BD11-71284D4860EB}" keepAlive="1" name="Connection94" type="5" refreshedVersion="0" background="1">
    <dbPr connection="Provider=Microsoft.Mashup.OleDb.1;Data Source=$Workbook$;Location=&quot;123578321012_01&quot;;Extended Properties=&quot;&quot;" commandType="0"/>
  </connection>
  <connection id="1177" xr16:uid="{A14BDA5A-782D-418B-85CA-0AC442D512F7}" keepAlive="1" name="Connection940" type="5" refreshedVersion="0" background="1">
    <dbPr connection="Provider=Microsoft.Mashup.OleDb.1;Data Source=$Workbook$;Location=&quot;176649872201_04&quot;;Extended Properties=&quot;&quot;" commandType="0"/>
  </connection>
  <connection id="1178" xr16:uid="{C1D04B64-DB6F-4174-B75E-2BA8F10BF5B4}" keepAlive="1" name="Connection941" type="5" refreshedVersion="0" background="1">
    <dbPr connection="Provider=Microsoft.Mashup.OleDb.1;Data Source=$Workbook$;Location=&quot;176649872348_01&quot;;Extended Properties=&quot;&quot;" commandType="0"/>
  </connection>
  <connection id="1179" xr16:uid="{850973A2-0A0B-4B78-94E2-8C1EA3B2BBA0}" keepAlive="1" name="Connection942" type="5" refreshedVersion="0" background="1">
    <dbPr connection="Provider=Microsoft.Mashup.OleDb.1;Data Source=$Workbook$;Location=&quot;176649872348_04&quot;;Extended Properties=&quot;&quot;" commandType="0"/>
  </connection>
  <connection id="1180" xr16:uid="{9409D377-E638-4397-94DF-F8C35A6C1801}" keepAlive="1" name="Connection943" type="5" refreshedVersion="0" background="1">
    <dbPr connection="Provider=Microsoft.Mashup.OleDb.1;Data Source=$Workbook$;Location=&quot;177173692514_01&quot;;Extended Properties=&quot;&quot;" commandType="0"/>
  </connection>
  <connection id="1181" xr16:uid="{E04877CC-7B37-40FE-8A39-7D1F858CF6D4}" keepAlive="1" name="Connection944" type="5" refreshedVersion="0" background="1">
    <dbPr connection="Provider=Microsoft.Mashup.OleDb.1;Data Source=$Workbook$;Location=&quot;177173692514_04&quot;;Extended Properties=&quot;&quot;" commandType="0"/>
  </connection>
  <connection id="1182" xr16:uid="{EDE066D9-6B67-495E-B5A9-18C35C7FDDE2}" keepAlive="1" name="Connection945" type="5" refreshedVersion="0" background="1">
    <dbPr connection="Provider=Microsoft.Mashup.OleDb.1;Data Source=$Workbook$;Location=&quot;177763972928_01&quot;;Extended Properties=&quot;&quot;" commandType="0"/>
  </connection>
  <connection id="1183" xr16:uid="{8A3887EE-F0F5-4F78-9540-63FA2925A299}" keepAlive="1" name="Connection946" type="5" refreshedVersion="0" background="1">
    <dbPr connection="Provider=Microsoft.Mashup.OleDb.1;Data Source=$Workbook$;Location=&quot;177763972928_04&quot;;Extended Properties=&quot;&quot;" commandType="0"/>
  </connection>
  <connection id="1184" xr16:uid="{A0B4846D-0923-4B51-B650-8C9A6278B7DC}" keepAlive="1" name="Connection947" type="5" refreshedVersion="0" background="1">
    <dbPr connection="Provider=Microsoft.Mashup.OleDb.1;Data Source=$Workbook$;Location=&quot;241605212889662_01&quot;;Extended Properties=&quot;&quot;" commandType="0"/>
  </connection>
  <connection id="1185" xr16:uid="{CA9DD400-8B4F-44F1-A9C2-3337E4E9447E}" keepAlive="1" name="Connection948" type="5" refreshedVersion="0" background="1">
    <dbPr connection="Provider=Microsoft.Mashup.OleDb.1;Data Source=$Workbook$;Location=&quot;241605212889662_04&quot;;Extended Properties=&quot;&quot;" commandType="0"/>
  </connection>
  <connection id="1186" xr16:uid="{E778123F-6823-4969-8596-3A1CDEA50A19}" keepAlive="1" name="Connection949" type="5" refreshedVersion="0" background="1">
    <dbPr connection="Provider=Microsoft.Mashup.OleDb.1;Data Source=$Workbook$;Location=&quot;261248911364654_01&quot;;Extended Properties=&quot;&quot;" commandType="0"/>
  </connection>
  <connection id="1187" xr16:uid="{256B2C5A-0A99-4CC8-AFCA-224F617A6C7C}" keepAlive="1" name="Connection95" type="5" refreshedVersion="0" background="1">
    <dbPr connection="Provider=Microsoft.Mashup.OleDb.1;Data Source=$Workbook$;Location=&quot;123578321012_04&quot;;Extended Properties=&quot;&quot;" commandType="0"/>
  </connection>
  <connection id="1188" xr16:uid="{4DBE87DC-4717-4F2D-9BAA-A67346C7AAAA}" keepAlive="1" name="Connection950" type="5" refreshedVersion="0" background="1">
    <dbPr connection="Provider=Microsoft.Mashup.OleDb.1;Data Source=$Workbook$;Location=&quot;261248911376251_01&quot;;Extended Properties=&quot;&quot;" commandType="0"/>
  </connection>
  <connection id="1189" xr16:uid="{D1BA7DC7-349E-428D-8A27-1AB94DE95C1F}" keepAlive="1" name="Connection951" type="5" refreshedVersion="0" background="1">
    <dbPr connection="Provider=Microsoft.Mashup.OleDb.1;Data Source=$Workbook$;Location=&quot;261248911376251_04&quot;;Extended Properties=&quot;&quot;" commandType="0"/>
  </connection>
  <connection id="1190" xr16:uid="{9BF266C4-516F-4E3C-BF00-97551657DA96}" keepAlive="1" name="Connection952" type="5" refreshedVersion="0" background="1">
    <dbPr connection="Provider=Microsoft.Mashup.OleDb.1;Data Source=$Workbook$;Location=&quot;261248911402615_01&quot;;Extended Properties=&quot;&quot;" commandType="0"/>
  </connection>
  <connection id="1191" xr16:uid="{D4AE9AAB-6287-4A4D-9854-56C98E5553FD}" keepAlive="1" name="Connection953" type="5" refreshedVersion="0" background="1">
    <dbPr connection="Provider=Microsoft.Mashup.OleDb.1;Data Source=$Workbook$;Location=&quot;261248911402615_04&quot;;Extended Properties=&quot;&quot;" commandType="0"/>
  </connection>
  <connection id="1192" xr16:uid="{EF35C78D-4FBA-4560-AAE7-EF02F8DACDBA}" keepAlive="1" name="Connection954" type="5" refreshedVersion="0" background="1">
    <dbPr connection="Provider=Microsoft.Mashup.OleDb.1;Data Source=$Workbook$;Location=&quot;390963938405_01&quot;;Extended Properties=&quot;&quot;" commandType="0"/>
  </connection>
  <connection id="1193" xr16:uid="{28139402-E587-41C9-A843-EE63916987AC}" keepAlive="1" name="Connection955" type="5" refreshedVersion="0" background="1">
    <dbPr connection="Provider=Microsoft.Mashup.OleDb.1;Data Source=$Workbook$;Location=&quot;390963938405_04&quot;;Extended Properties=&quot;&quot;" commandType="0"/>
  </connection>
  <connection id="1194" xr16:uid="{025A4650-F3EC-49E1-BD84-7C594160DEFC}" keepAlive="1" name="Connection956" type="5" refreshedVersion="0" background="1">
    <dbPr connection="Provider=Microsoft.Mashup.OleDb.1;Data Source=$Workbook$;Location=&quot;391377133474_01&quot;;Extended Properties=&quot;&quot;" commandType="0"/>
  </connection>
  <connection id="1195" xr16:uid="{B73386F2-233F-4A61-8527-A75862566A4F}" keepAlive="1" name="Connection957" type="5" refreshedVersion="0" background="1">
    <dbPr connection="Provider=Microsoft.Mashup.OleDb.1;Data Source=$Workbook$;Location=&quot;391377133474_04&quot;;Extended Properties=&quot;&quot;" commandType="0"/>
  </connection>
  <connection id="1196" xr16:uid="{377BE8A0-DF56-40B9-B197-31DF0AE8EE79}" keepAlive="1" name="Connection958" type="5" refreshedVersion="0" background="1">
    <dbPr connection="Provider=Microsoft.Mashup.OleDb.1;Data Source=$Workbook$;Location=&quot;391513674071_01&quot;;Extended Properties=&quot;&quot;" commandType="0"/>
  </connection>
  <connection id="1197" xr16:uid="{99893DA9-FDFC-48C9-9452-6FB512026370}" keepAlive="1" name="Connection959" type="5" refreshedVersion="0" background="1">
    <dbPr connection="Provider=Microsoft.Mashup.OleDb.1;Data Source=$Workbook$;Location=&quot;391513674071_04&quot;;Extended Properties=&quot;&quot;" commandType="0"/>
  </connection>
  <connection id="1198" xr16:uid="{D150F0E4-E588-457E-AF1D-7BCE50C20D4C}" keepAlive="1" name="Connection96" type="5" refreshedVersion="0" background="1">
    <dbPr connection="Provider=Microsoft.Mashup.OleDb.1;Data Source=$Workbook$;Location=&quot;123578321012_01&quot;;Extended Properties=&quot;&quot;" commandType="0"/>
  </connection>
  <connection id="1199" xr16:uid="{79FD2875-D3BA-48B6-938A-06FA6D865795}" keepAlive="1" name="Connection960" type="5" refreshedVersion="0" background="1">
    <dbPr connection="Provider=Microsoft.Mashup.OleDb.1;Data Source=$Workbook$;Location=&quot;391664063152_01&quot;;Extended Properties=&quot;&quot;" commandType="0"/>
  </connection>
  <connection id="1200" xr16:uid="{A777C74A-B522-48E8-B09A-F64BEE65919E}" keepAlive="1" name="Connection961" type="5" refreshedVersion="0" background="1">
    <dbPr connection="Provider=Microsoft.Mashup.OleDb.1;Data Source=$Workbook$;Location=&quot;391664063152_04&quot;;Extended Properties=&quot;&quot;" commandType="0"/>
  </connection>
  <connection id="1201" xr16:uid="{08C65FFB-8345-480A-88F1-60FE7F1065BC}" keepAlive="1" name="Connection962" type="5" refreshedVersion="0" background="1">
    <dbPr connection="Provider=Microsoft.Mashup.OleDb.1;Data Source=$Workbook$;Location=&quot;391796496680_01&quot;;Extended Properties=&quot;&quot;" commandType="0"/>
  </connection>
  <connection id="1202" xr16:uid="{730B1C95-1935-4E51-BADB-379F4F1577B1}" keepAlive="1" name="Connection963" type="5" refreshedVersion="0" background="1">
    <dbPr connection="Provider=Microsoft.Mashup.OleDb.1;Data Source=$Workbook$;Location=&quot;391796496680_04&quot;;Extended Properties=&quot;&quot;" commandType="0"/>
  </connection>
  <connection id="1203" xr16:uid="{B22CDA4D-9401-45DE-AC5E-EA6E9B8E2CBD}" keepAlive="1" name="Connection964" type="5" refreshedVersion="0" background="1">
    <dbPr connection="Provider=Microsoft.Mashup.OleDb.1;Data Source=$Workbook$;Location=&quot;391889292782_01&quot;;Extended Properties=&quot;&quot;" commandType="0"/>
  </connection>
  <connection id="1204" xr16:uid="{E53D634A-0E1C-45D2-B8B0-E018D3CB1871}" keepAlive="1" name="Connection965" type="5" refreshedVersion="0" background="1">
    <dbPr connection="Provider=Microsoft.Mashup.OleDb.1;Data Source=$Workbook$;Location=&quot;391889292782_04&quot;;Extended Properties=&quot;&quot;" commandType="0"/>
  </connection>
  <connection id="1205" xr16:uid="{D9CBD0DB-D8E8-4E80-86A5-FB8E4EE9381D}" keepAlive="1" name="Connection966" type="5" refreshedVersion="0" background="1">
    <dbPr connection="Provider=Microsoft.Mashup.OleDb.1;Data Source=$Workbook$;Location=&quot;391891041032_01&quot;;Extended Properties=&quot;&quot;" commandType="0"/>
  </connection>
  <connection id="1206" xr16:uid="{97F2A66C-6789-4C2C-A0F6-422E4FF72525}" keepAlive="1" name="Connection967" type="5" refreshedVersion="0" background="1">
    <dbPr connection="Provider=Microsoft.Mashup.OleDb.1;Data Source=$Workbook$;Location=&quot;391891041032_04&quot;;Extended Properties=&quot;&quot;" commandType="0"/>
  </connection>
  <connection id="1207" xr16:uid="{0A7A830B-7A20-452D-87B7-116D77F42AED}" keepAlive="1" name="Connection968" type="5" refreshedVersion="0" background="1">
    <dbPr connection="Provider=Microsoft.Mashup.OleDb.1;Data Source=$Workbook$;Location=&quot;391934569220_01&quot;;Extended Properties=&quot;&quot;" commandType="0"/>
  </connection>
  <connection id="1208" xr16:uid="{CA0DAD6E-D278-40DC-9AA0-929098B2E172}" keepAlive="1" name="Connection969" type="5" refreshedVersion="0" background="1">
    <dbPr connection="Provider=Microsoft.Mashup.OleDb.1;Data Source=$Workbook$;Location=&quot;391934569220_04&quot;;Extended Properties=&quot;&quot;" commandType="0"/>
  </connection>
  <connection id="1209" xr16:uid="{469A6589-EE2F-4C14-BA13-960FA5F46A2C}" keepAlive="1" name="Connection97" type="5" refreshedVersion="0" background="1">
    <dbPr connection="Provider=Microsoft.Mashup.OleDb.1;Data Source=$Workbook$;Location=&quot;123578321012_04&quot;;Extended Properties=&quot;&quot;" commandType="0"/>
  </connection>
  <connection id="1210" xr16:uid="{C4A78356-CCDE-4913-95B6-380EE631C2F6}" keepAlive="1" name="Connection970" type="5" refreshedVersion="0" background="1">
    <dbPr connection="Provider=Microsoft.Mashup.OleDb.1;Data Source=$Workbook$;Location=&quot;391992058806_01&quot;;Extended Properties=&quot;&quot;" commandType="0"/>
  </connection>
  <connection id="1211" xr16:uid="{6465E2ED-7357-49C3-AAFE-789CA04B522C}" keepAlive="1" name="Connection971" type="5" refreshedVersion="0" background="1">
    <dbPr connection="Provider=Microsoft.Mashup.OleDb.1;Data Source=$Workbook$;Location=&quot;391992058806_04&quot;;Extended Properties=&quot;&quot;" commandType="0"/>
  </connection>
  <connection id="1212" xr16:uid="{F2478C9A-1E5A-4E8F-A4FA-B37F001E8518}" keepAlive="1" name="Connection972" type="5" refreshedVersion="0" background="1">
    <dbPr connection="Provider=Microsoft.Mashup.OleDb.1;Data Source=$Workbook$;Location=&quot;392046877725_01&quot;;Extended Properties=&quot;&quot;" commandType="0"/>
  </connection>
  <connection id="1213" xr16:uid="{2D147205-C024-4B42-B2E1-E1DA41C03956}" keepAlive="1" name="Connection973" type="5" refreshedVersion="0" background="1">
    <dbPr connection="Provider=Microsoft.Mashup.OleDb.1;Data Source=$Workbook$;Location=&quot;392046877725_04&quot;;Extended Properties=&quot;&quot;" commandType="0"/>
  </connection>
  <connection id="1214" xr16:uid="{376EE9F5-EBA4-4627-9ACE-521750DC20DE}" keepAlive="1" name="Connection974" type="5" refreshedVersion="0" background="1">
    <dbPr connection="Provider=Microsoft.Mashup.OleDb.1;Data Source=$Workbook$;Location=&quot;392209456988_01&quot;;Extended Properties=&quot;&quot;" commandType="0"/>
  </connection>
  <connection id="1215" xr16:uid="{3C05C39F-0DB7-4D53-AB70-DA738FA5FA74}" keepAlive="1" name="Connection975" type="5" refreshedVersion="0" background="1">
    <dbPr connection="Provider=Microsoft.Mashup.OleDb.1;Data Source=$Workbook$;Location=&quot;392209456988_04&quot;;Extended Properties=&quot;&quot;" commandType="0"/>
  </connection>
  <connection id="1216" xr16:uid="{4C4CAD0A-D245-4174-98FD-6C6A7E098F51}" keepAlive="1" name="Connection976" type="5" refreshedVersion="0" background="1">
    <dbPr connection="Provider=Microsoft.Mashup.OleDb.1;Data Source=$Workbook$;Location=&quot;392239987917_01&quot;;Extended Properties=&quot;&quot;" commandType="0"/>
  </connection>
  <connection id="1217" xr16:uid="{DBAD54AD-0ED3-48C0-B653-FAD85835E63C}" keepAlive="1" name="Connection977" type="5" refreshedVersion="0" background="1">
    <dbPr connection="Provider=Microsoft.Mashup.OleDb.1;Data Source=$Workbook$;Location=&quot;392357345890_01&quot;;Extended Properties=&quot;&quot;" commandType="0"/>
  </connection>
  <connection id="1218" xr16:uid="{C56B2938-16E7-41FD-A7A2-F1B5D9218E31}" keepAlive="1" name="Connection978" type="5" refreshedVersion="0" background="1">
    <dbPr connection="Provider=Microsoft.Mashup.OleDb.1;Data Source=$Workbook$;Location=&quot;392371631267_01&quot;;Extended Properties=&quot;&quot;" commandType="0"/>
  </connection>
  <connection id="1219" xr16:uid="{1377E655-177B-4CF8-B2E4-20B8A855AB53}" keepAlive="1" name="Connection979" type="5" refreshedVersion="0" background="1">
    <dbPr connection="Provider=Microsoft.Mashup.OleDb.1;Data Source=$Workbook$;Location=&quot;392402754220_01&quot;;Extended Properties=&quot;&quot;" commandType="0"/>
  </connection>
  <connection id="1220" xr16:uid="{C5BA86FA-C965-487F-B378-E311920F226C}" keepAlive="1" name="Connection98" type="5" refreshedVersion="0" background="1">
    <dbPr connection="Provider=Microsoft.Mashup.OleDb.1;Data Source=$Workbook$;Location=&quot;123578321012_01&quot;;Extended Properties=&quot;&quot;" commandType="0"/>
  </connection>
  <connection id="1221" xr16:uid="{758D450E-BE6C-404A-8515-511161249EEB}" keepAlive="1" name="Connection980" type="5" refreshedVersion="0" background="1">
    <dbPr connection="Provider=Microsoft.Mashup.OleDb.1;Data Source=$Workbook$;Location=&quot;392402754241_01&quot;;Extended Properties=&quot;&quot;" commandType="0"/>
  </connection>
  <connection id="1222" xr16:uid="{95969127-AAFE-4FD0-A54C-521868F912C5}" keepAlive="1" name="Connection981" type="5" refreshedVersion="0" background="1">
    <dbPr connection="Provider=Microsoft.Mashup.OleDb.1;Data Source=$Workbook$;Location=&quot;392426823963_01&quot;;Extended Properties=&quot;&quot;" commandType="0"/>
  </connection>
  <connection id="1223" xr16:uid="{602DBAA1-CB2C-41E6-A459-3234D2CC4B51}" keepAlive="1" name="Connection982" type="5" refreshedVersion="0" background="1">
    <dbPr connection="Provider=Microsoft.Mashup.OleDb.1;Data Source=$Workbook$;Location=&quot;392447172515_01&quot;;Extended Properties=&quot;&quot;" commandType="0"/>
  </connection>
  <connection id="1224" xr16:uid="{11F337B7-4FC6-4A31-B16C-30AF7A7BFB4C}" keepAlive="1" name="Connection983" type="5" refreshedVersion="0" background="1">
    <dbPr connection="Provider=Microsoft.Mashup.OleDb.1;Data Source=$Workbook$;Location=&quot;392460933918_01&quot;;Extended Properties=&quot;&quot;" commandType="0"/>
  </connection>
  <connection id="1225" xr16:uid="{4CF60805-3B84-453A-980B-B4E55C04D33C}" keepAlive="1" name="Connection984" type="5" refreshedVersion="0" background="1">
    <dbPr connection="Provider=Microsoft.Mashup.OleDb.1;Data Source=$Workbook$;Location=&quot;392460933918_04&quot;;Extended Properties=&quot;&quot;" commandType="0"/>
  </connection>
  <connection id="1226" xr16:uid="{7AAC6022-A017-4354-84CF-5FAA53D98D12}" keepAlive="1" name="Connection985" type="5" refreshedVersion="0" background="1">
    <dbPr connection="Provider=Microsoft.Mashup.OleDb.1;Data Source=$Workbook$;Location=&quot;392586198147_01&quot;;Extended Properties=&quot;&quot;" commandType="0"/>
  </connection>
  <connection id="1227" xr16:uid="{B6C0D3FA-48B3-4118-8F83-39AAD9787A70}" keepAlive="1" name="Connection986" type="5" refreshedVersion="0" background="1">
    <dbPr connection="Provider=Microsoft.Mashup.OleDb.1;Data Source=$Workbook$;Location=&quot;392741219767_01&quot;;Extended Properties=&quot;&quot;" commandType="0"/>
  </connection>
  <connection id="1228" xr16:uid="{CAC26FFA-5965-4CC8-8621-422F44F1F67D}" keepAlive="1" name="Connection987" type="5" refreshedVersion="0" background="1">
    <dbPr connection="Provider=Microsoft.Mashup.OleDb.1;Data Source=$Workbook$;Location=&quot;392741219767_04&quot;;Extended Properties=&quot;&quot;" commandType="0"/>
  </connection>
  <connection id="1229" xr16:uid="{14CA098D-DC67-4ECE-BD51-FE374A498470}" keepAlive="1" name="Connection988" type="5" refreshedVersion="0" background="1">
    <dbPr connection="Provider=Microsoft.Mashup.OleDb.1;Data Source=$Workbook$;Location=&quot;408282523013_01&quot;;Extended Properties=&quot;&quot;" commandType="0"/>
  </connection>
  <connection id="1230" xr16:uid="{3F9A107C-D2DF-4651-A445-CD0D24E30E1D}" keepAlive="1" name="Connection989" type="5" refreshedVersion="0" background="1">
    <dbPr connection="Provider=Microsoft.Mashup.OleDb.1;Data Source=$Workbook$;Location=&quot;408282523013_04&quot;;Extended Properties=&quot;&quot;" commandType="0"/>
  </connection>
  <connection id="1231" xr16:uid="{DED030BF-B2A7-4828-B392-8D0E81349639}" keepAlive="1" name="Connection99" type="5" refreshedVersion="0" background="1">
    <dbPr connection="Provider=Microsoft.Mashup.OleDb.1;Data Source=$Workbook$;Location=&quot;123578321012_04&quot;;Extended Properties=&quot;&quot;" commandType="0"/>
  </connection>
  <connection id="1232" xr16:uid="{9BD18F56-D55C-471D-A9D5-4FBB3A3DBAAA}" keepAlive="1" name="Connection990" type="5" refreshedVersion="0" background="1">
    <dbPr connection="Provider=Microsoft.Mashup.OleDb.1;Data Source=$Workbook$;Location=&quot;474781138907_01&quot;;Extended Properties=&quot;&quot;" commandType="0"/>
  </connection>
  <connection id="1233" xr16:uid="{C13CBF9A-6809-4712-9EEA-95ACB25BF284}" keepAlive="1" name="Connection991" type="5" refreshedVersion="0" background="1">
    <dbPr connection="Provider=Microsoft.Mashup.OleDb.1;Data Source=$Workbook$;Location=&quot;474781138907_04&quot;;Extended Properties=&quot;&quot;" commandType="0"/>
  </connection>
  <connection id="1234" xr16:uid="{D9A7EFCB-D00C-46FC-8572-0B9F53D47251}" keepAlive="1" name="Connection992" type="5" refreshedVersion="0" background="1">
    <dbPr connection="Provider=Microsoft.Mashup.OleDb.1;Data Source=$Workbook$;Location=&quot;474781139042_01&quot;;Extended Properties=&quot;&quot;" commandType="0"/>
  </connection>
  <connection id="1235" xr16:uid="{328F1F74-1E63-46BB-9173-8787A6E3FB0D}" keepAlive="1" name="Connection993" type="5" refreshedVersion="0" background="1">
    <dbPr connection="Provider=Microsoft.Mashup.OleDb.1;Data Source=$Workbook$;Location=&quot;474781139042_04&quot;;Extended Properties=&quot;&quot;" commandType="0"/>
  </connection>
  <connection id="1236" xr16:uid="{E2A3497E-C97E-4EC7-950F-9D52AB28A3D9}" keepAlive="1" name="Connection994" type="5" refreshedVersion="0" background="1">
    <dbPr connection="Provider=Microsoft.Mashup.OleDb.1;Data Source=$Workbook$;Location=&quot;486504428992_01&quot;;Extended Properties=&quot;&quot;" commandType="0"/>
  </connection>
  <connection id="1237" xr16:uid="{3D3D48D6-3184-4619-9A4A-9E0BA7FA3588}" keepAlive="1" name="Connection995" type="5" refreshedVersion="0" background="1">
    <dbPr connection="Provider=Microsoft.Mashup.OleDb.1;Data Source=$Workbook$;Location=&quot;491605389144277_01&quot;;Extended Properties=&quot;&quot;" commandType="0"/>
  </connection>
  <connection id="1238" xr16:uid="{B5A46844-2D4C-4D8B-9E3D-58940AE3C723}" keepAlive="1" name="Connection996" type="5" refreshedVersion="0" background="1">
    <dbPr connection="Provider=Microsoft.Mashup.OleDb.1;Data Source=$Workbook$;Location=&quot;491605389144277_04&quot;;Extended Properties=&quot;&quot;" commandType="0"/>
  </connection>
  <connection id="1239" xr16:uid="{614D7D77-7762-403F-BB05-99EA2B07BB0A}" keepAlive="1" name="Connection997" type="5" refreshedVersion="0" background="1">
    <dbPr connection="Provider=Microsoft.Mashup.OleDb.1;Data Source=$Workbook$;Location=&quot;748136415338919_01&quot;;Extended Properties=&quot;&quot;" commandType="0"/>
  </connection>
  <connection id="1240" xr16:uid="{65D32E0D-C713-4FDD-B849-7B966A9AE0E8}" keepAlive="1" name="Connection998" type="5" refreshedVersion="0" background="1">
    <dbPr connection="Provider=Microsoft.Mashup.OleDb.1;Data Source=$Workbook$;Location=&quot;748136415338919_04&quot;;Extended Properties=&quot;&quot;" commandType="0"/>
  </connection>
  <connection id="1241" xr16:uid="{D29C6317-2B5F-4B40-9620-5AA5A0FCE3CA}" keepAlive="1" name="Connection999" type="5" refreshedVersion="0" background="1">
    <dbPr connection="Provider=Microsoft.Mashup.OleDb.1;Data Source=$Workbook$;Location=&quot;770313839749_01&quot;;Extended Properties=&quot;&quot;" commandType="0"/>
  </connection>
</connections>
</file>

<file path=xl/sharedStrings.xml><?xml version="1.0" encoding="utf-8"?>
<sst xmlns="http://schemas.openxmlformats.org/spreadsheetml/2006/main" count="804" uniqueCount="336">
  <si>
    <t>Shipper Name</t>
  </si>
  <si>
    <t>Tracking ID</t>
  </si>
  <si>
    <t>Region</t>
  </si>
  <si>
    <t>District</t>
  </si>
  <si>
    <t>Station</t>
  </si>
  <si>
    <t>Charge Station Number</t>
  </si>
  <si>
    <t>Pickup Station</t>
  </si>
  <si>
    <t>Delivery Station</t>
  </si>
  <si>
    <t>Pickup Date</t>
  </si>
  <si>
    <t>Claim Close Date</t>
  </si>
  <si>
    <t>WESTERN</t>
  </si>
  <si>
    <t>WESTERN ROCKIES</t>
  </si>
  <si>
    <t>N</t>
  </si>
  <si>
    <t>AUTO - PARTS, ACCESSORIES</t>
  </si>
  <si>
    <t>SQI Month</t>
  </si>
  <si>
    <t>W/E</t>
  </si>
  <si>
    <t>Claim Type</t>
  </si>
  <si>
    <t>Claim Description</t>
  </si>
  <si>
    <t>Paid_Denied</t>
  </si>
  <si>
    <t>Deny Reason Description</t>
  </si>
  <si>
    <t>Pkg Ship Date</t>
  </si>
  <si>
    <t>Natl Account Name</t>
  </si>
  <si>
    <t>Amount Claimed</t>
  </si>
  <si>
    <t>Pkg Weight</t>
  </si>
  <si>
    <t>Commodity</t>
  </si>
  <si>
    <t>Recipient Name</t>
  </si>
  <si>
    <t>Recipient Address</t>
  </si>
  <si>
    <t>Recipient Address2</t>
  </si>
  <si>
    <t>Recipient City</t>
  </si>
  <si>
    <t>Recipient Postal Code</t>
  </si>
  <si>
    <t>Residential Flag</t>
  </si>
  <si>
    <t>High Rise</t>
  </si>
  <si>
    <t>Door Tag</t>
  </si>
  <si>
    <t>PSA/CSA</t>
  </si>
  <si>
    <t>Dispute Delivery Case Outcome</t>
  </si>
  <si>
    <t>Missing Pkg Reported Dt</t>
  </si>
  <si>
    <t>NDS Pkg Date</t>
  </si>
  <si>
    <t>WALMART DSV</t>
  </si>
  <si>
    <t>Last_Scan_Date</t>
  </si>
  <si>
    <t>Last_Scan_Loc</t>
  </si>
  <si>
    <t>Last_Scan_Description</t>
  </si>
  <si>
    <t>Disputes Delivery</t>
  </si>
  <si>
    <t>Released Delivery</t>
  </si>
  <si>
    <t>Denied</t>
  </si>
  <si>
    <t>Y</t>
  </si>
  <si>
    <t>unknown</t>
  </si>
  <si>
    <t/>
  </si>
  <si>
    <t>Signature Option Not Requested</t>
  </si>
  <si>
    <t>WEARING APPAREL CLOTHING</t>
  </si>
  <si>
    <t>Package Not Found</t>
  </si>
  <si>
    <t>PKGD FOOD,INGREDIENTS,OTHER</t>
  </si>
  <si>
    <t>Unable to Contact</t>
  </si>
  <si>
    <t>Dlvry Date</t>
  </si>
  <si>
    <t>Name</t>
  </si>
  <si>
    <t>Clark,Kent</t>
  </si>
  <si>
    <t>Muir,Bryan</t>
  </si>
  <si>
    <t>Kremin,Rod</t>
  </si>
  <si>
    <t>Clark,Rhett</t>
  </si>
  <si>
    <t>Soucie,Jason</t>
  </si>
  <si>
    <t>Soucie,Ryan</t>
  </si>
  <si>
    <t>Moser,Leon</t>
  </si>
  <si>
    <t>Withers,Alex</t>
  </si>
  <si>
    <t>Klingler,Kody</t>
  </si>
  <si>
    <t>Moser,Dudley</t>
  </si>
  <si>
    <t>Pincock,Sharla</t>
  </si>
  <si>
    <t>Young,Scott</t>
  </si>
  <si>
    <t>Perry,Jeff</t>
  </si>
  <si>
    <t>Soucie,Brandon</t>
  </si>
  <si>
    <t>Vance,Kirk</t>
  </si>
  <si>
    <t>Goss,Jake</t>
  </si>
  <si>
    <t>Wood,Darin</t>
  </si>
  <si>
    <t>Carlson,Dustin</t>
  </si>
  <si>
    <t>Martineau,Matt</t>
  </si>
  <si>
    <t>Williams,Mark</t>
  </si>
  <si>
    <t>Rollins,Tyson</t>
  </si>
  <si>
    <t>Dopp,David</t>
  </si>
  <si>
    <t>Squires,Bruce</t>
  </si>
  <si>
    <t>Shumway,Jordan</t>
  </si>
  <si>
    <t>Tinker,Brent</t>
  </si>
  <si>
    <t>Carmack,Joe</t>
  </si>
  <si>
    <t>Smith,Ron</t>
  </si>
  <si>
    <t>Cottle,Ty</t>
  </si>
  <si>
    <t>Byrnes,Skooter</t>
  </si>
  <si>
    <t>Rogers,Triston</t>
  </si>
  <si>
    <t>Spalliero,Thomas</t>
  </si>
  <si>
    <t>Nash,Tyrell</t>
  </si>
  <si>
    <t>Webb,Tanner</t>
  </si>
  <si>
    <t>Bovee,Nathan</t>
  </si>
  <si>
    <t>Total Claims</t>
  </si>
  <si>
    <t>Total Drivers</t>
  </si>
  <si>
    <t>MEAT,FRESH,CHILLED,FROZEN</t>
  </si>
  <si>
    <t>Total Loss</t>
  </si>
  <si>
    <t>Total Damage</t>
  </si>
  <si>
    <t>Adamson,Taylor</t>
  </si>
  <si>
    <t>Bailey,Brooke</t>
  </si>
  <si>
    <t>Bailey,Justin</t>
  </si>
  <si>
    <t>Bates,Angela</t>
  </si>
  <si>
    <t>Bates,Michael Tyler</t>
  </si>
  <si>
    <t>Beardall,Karter</t>
  </si>
  <si>
    <t>Brabec,Kyler</t>
  </si>
  <si>
    <t>Breedlove,Jeremy</t>
  </si>
  <si>
    <t>Edwards,Chris</t>
  </si>
  <si>
    <t>Gallup,Jacob</t>
  </si>
  <si>
    <t>Gray,Braxton</t>
  </si>
  <si>
    <t>Hansen,Chase</t>
  </si>
  <si>
    <t>Horman,Kyle</t>
  </si>
  <si>
    <t>Klosterman,Sean</t>
  </si>
  <si>
    <t>Kremin,Kacey</t>
  </si>
  <si>
    <t>Layton,Robert</t>
  </si>
  <si>
    <t>Lords,Joshua</t>
  </si>
  <si>
    <t>Occhionero,Mike</t>
  </si>
  <si>
    <t>Osborn,Michael</t>
  </si>
  <si>
    <t>Peterson,Connor</t>
  </si>
  <si>
    <t>Pincock,Eddie</t>
  </si>
  <si>
    <t>Potter,Michael</t>
  </si>
  <si>
    <t>Sansoucie,Cole Shane</t>
  </si>
  <si>
    <t>Sansoucie,Seth</t>
  </si>
  <si>
    <t>Spafford,Levi</t>
  </si>
  <si>
    <t>Vance,Jolyn</t>
  </si>
  <si>
    <t>Wamack,Michael</t>
  </si>
  <si>
    <t>Weathersby,Kelly</t>
  </si>
  <si>
    <t>Wells,Dallas</t>
  </si>
  <si>
    <t>Zyhailo,Zachary</t>
  </si>
  <si>
    <t>6/11/2020</t>
  </si>
  <si>
    <t>6/12/2020</t>
  </si>
  <si>
    <t>6/13/2020</t>
  </si>
  <si>
    <t>6/14/2020</t>
  </si>
  <si>
    <t>6/15/2020</t>
  </si>
  <si>
    <t>6/16/2020</t>
  </si>
  <si>
    <t>6/17/2020</t>
  </si>
  <si>
    <t>6/18/2020</t>
  </si>
  <si>
    <t>6/19/2020</t>
  </si>
  <si>
    <t>6/20/2020</t>
  </si>
  <si>
    <t>6/21/2020</t>
  </si>
  <si>
    <t>6/22/2020</t>
  </si>
  <si>
    <t>6/23/2020</t>
  </si>
  <si>
    <t>6/24/2020</t>
  </si>
  <si>
    <t>6/25/2020</t>
  </si>
  <si>
    <t>6/26/2020</t>
  </si>
  <si>
    <t>6/27/2020</t>
  </si>
  <si>
    <t>6/28/2020</t>
  </si>
  <si>
    <t>6/29/2020</t>
  </si>
  <si>
    <t>6/30/2020</t>
  </si>
  <si>
    <t>7/1/2020</t>
  </si>
  <si>
    <t>7/2/2020</t>
  </si>
  <si>
    <t>7/3/2020</t>
  </si>
  <si>
    <t>7/4/2020</t>
  </si>
  <si>
    <t>7/5/2020</t>
  </si>
  <si>
    <t>7/6/2020</t>
  </si>
  <si>
    <t>7/7/2020</t>
  </si>
  <si>
    <t>7/8/2020</t>
  </si>
  <si>
    <t>7/9/2020</t>
  </si>
  <si>
    <t>7/10/2020</t>
  </si>
  <si>
    <t>7/11/2020</t>
  </si>
  <si>
    <t>7/12/2020</t>
  </si>
  <si>
    <t>Coughlan,Brenner</t>
  </si>
  <si>
    <t xml:space="preserve">Days since </t>
  </si>
  <si>
    <t>Record Start</t>
  </si>
  <si>
    <t>Loss Claims</t>
  </si>
  <si>
    <t>Damage Claims</t>
  </si>
  <si>
    <t>Loss/Driver/Month</t>
  </si>
  <si>
    <t>in Months</t>
  </si>
  <si>
    <t>Damages/Driver/Month</t>
  </si>
  <si>
    <t>All</t>
  </si>
  <si>
    <t>Loss Summary</t>
  </si>
  <si>
    <t>Damage Summary</t>
  </si>
  <si>
    <t>All Claims</t>
  </si>
  <si>
    <t>Claims/Driver/Month</t>
  </si>
  <si>
    <t>PROVO, UT (846/3846)</t>
  </si>
  <si>
    <t>PROVO, UT</t>
  </si>
  <si>
    <t>OREM, UT</t>
  </si>
  <si>
    <t>LINDON, UT</t>
  </si>
  <si>
    <t>Clear Proof of Delivery</t>
  </si>
  <si>
    <t>PRVO</t>
  </si>
  <si>
    <t>SARATOGA SPRINGS, UT</t>
  </si>
  <si>
    <t>DELIVERED</t>
  </si>
  <si>
    <t>Return to Shipper</t>
  </si>
  <si>
    <t>EBAY INC./431365960</t>
  </si>
  <si>
    <t>EBAY PAYER PROGRAM/8136</t>
  </si>
  <si>
    <t>TRUCK HERO INC./53394</t>
  </si>
  <si>
    <t>June</t>
  </si>
  <si>
    <t>N/A</t>
  </si>
  <si>
    <t>UNIQUE MOTORS</t>
  </si>
  <si>
    <t>215 S 800 W</t>
  </si>
  <si>
    <t>NDS</t>
  </si>
  <si>
    <t>Package Lost in Transit</t>
  </si>
  <si>
    <t>REAL TRUCK - SFC/121548674</t>
  </si>
  <si>
    <t>jessie miller</t>
  </si>
  <si>
    <t>269 W 590 N</t>
  </si>
  <si>
    <t>MEEST AMERICA INC/467555804</t>
  </si>
  <si>
    <t>MEEST-AMERICA  INC.</t>
  </si>
  <si>
    <t>641 DOWD AVE</t>
  </si>
  <si>
    <t>ELIZABETH, NJ</t>
  </si>
  <si>
    <t>SUMMIT APPAREL INC/170294858</t>
  </si>
  <si>
    <t>SUMMIT APPAREL/72698</t>
  </si>
  <si>
    <t>UN1TRIBE</t>
  </si>
  <si>
    <t>2294 MOUNTAIN VISTA LN</t>
  </si>
  <si>
    <t>SHEPHERD PROCESSED EGGS/168965591</t>
  </si>
  <si>
    <t>SHEPHERDS PROCESSED EGGS/95270</t>
  </si>
  <si>
    <t>Jake Goldstein</t>
  </si>
  <si>
    <t>1243 S WABASH AVE</t>
  </si>
  <si>
    <t>APT 601</t>
  </si>
  <si>
    <t>CHICAGO, IL</t>
  </si>
  <si>
    <t>GOPLUS CORP./980330338</t>
  </si>
  <si>
    <t>Trinity Pehrson</t>
  </si>
  <si>
    <t>1090 N 185 W</t>
  </si>
  <si>
    <t>NATURES FARMACY/191463536</t>
  </si>
  <si>
    <t>Sheryl Hohle</t>
  </si>
  <si>
    <t>11735 W FAIRFIELD RD</t>
  </si>
  <si>
    <t>PROVO</t>
  </si>
  <si>
    <t>CSA #</t>
  </si>
  <si>
    <t>CSA Name</t>
  </si>
  <si>
    <t>TERMINAL</t>
  </si>
  <si>
    <t>DUMMY</t>
  </si>
  <si>
    <t xml:space="preserve"> </t>
  </si>
  <si>
    <t>142206731818</t>
  </si>
  <si>
    <t>707172721837</t>
  </si>
  <si>
    <t>451302533923</t>
  </si>
  <si>
    <t>367639311848</t>
  </si>
  <si>
    <t>506338513923</t>
  </si>
  <si>
    <t>715497653924</t>
  </si>
  <si>
    <t>904697703925</t>
  </si>
  <si>
    <t>63233586430106</t>
  </si>
  <si>
    <t>602474261768</t>
  </si>
  <si>
    <t>824601563922</t>
  </si>
  <si>
    <t>23121311689</t>
  </si>
  <si>
    <t>999175051760</t>
  </si>
  <si>
    <t>151968389782984</t>
  </si>
  <si>
    <t>425411253924</t>
  </si>
  <si>
    <t>130661263924</t>
  </si>
  <si>
    <t>344064123928</t>
  </si>
  <si>
    <t>198616073928</t>
  </si>
  <si>
    <t>92746213929</t>
  </si>
  <si>
    <t>664285591780</t>
  </si>
  <si>
    <t>234369183922</t>
  </si>
  <si>
    <t>762507573923</t>
  </si>
  <si>
    <t>167229593923</t>
  </si>
  <si>
    <t>599322543927</t>
  </si>
  <si>
    <t>471208193927</t>
  </si>
  <si>
    <t>758187827703</t>
  </si>
  <si>
    <t>175907784589813</t>
  </si>
  <si>
    <t>923677673927</t>
  </si>
  <si>
    <t>59345401809</t>
  </si>
  <si>
    <t>641444803917</t>
  </si>
  <si>
    <t>320917583923</t>
  </si>
  <si>
    <t>634522673925</t>
  </si>
  <si>
    <t>604416093928</t>
  </si>
  <si>
    <t>174588254589813</t>
  </si>
  <si>
    <t>171913003917</t>
  </si>
  <si>
    <t>855852533925</t>
  </si>
  <si>
    <t>272726353926</t>
  </si>
  <si>
    <t>775188717470</t>
  </si>
  <si>
    <t>176300474589813</t>
  </si>
  <si>
    <t>817427771238</t>
  </si>
  <si>
    <t>188815491671</t>
  </si>
  <si>
    <t>114263214892612</t>
  </si>
  <si>
    <t>598866123923</t>
  </si>
  <si>
    <t>510888777701</t>
  </si>
  <si>
    <t>84115537703</t>
  </si>
  <si>
    <t>61420417704</t>
  </si>
  <si>
    <t>464582267781</t>
  </si>
  <si>
    <t>73942253921</t>
  </si>
  <si>
    <t>107635193921</t>
  </si>
  <si>
    <t>108797033922</t>
  </si>
  <si>
    <t>474237423922</t>
  </si>
  <si>
    <t>982785283923</t>
  </si>
  <si>
    <t>128336993923</t>
  </si>
  <si>
    <t>657604763925</t>
  </si>
  <si>
    <t>498024533926</t>
  </si>
  <si>
    <t>505414533926</t>
  </si>
  <si>
    <t>83266911653</t>
  </si>
  <si>
    <t>526434513919</t>
  </si>
  <si>
    <t>74438593926</t>
  </si>
  <si>
    <t>114026154892612</t>
  </si>
  <si>
    <t>410329103918</t>
  </si>
  <si>
    <t>981478613925</t>
  </si>
  <si>
    <t>740973541263</t>
  </si>
  <si>
    <t>12889662522416</t>
  </si>
  <si>
    <t>631526403916</t>
  </si>
  <si>
    <t>312677163923</t>
  </si>
  <si>
    <t>239632683924</t>
  </si>
  <si>
    <t>339186093924</t>
  </si>
  <si>
    <t>197674123927</t>
  </si>
  <si>
    <t>720977011110</t>
  </si>
  <si>
    <t>113646544892612</t>
  </si>
  <si>
    <t>384056393909</t>
  </si>
  <si>
    <t>334747713913</t>
  </si>
  <si>
    <t>927828923918</t>
  </si>
  <si>
    <t>777254683920</t>
  </si>
  <si>
    <t>458905733923</t>
  </si>
  <si>
    <t>54220273924</t>
  </si>
  <si>
    <t>725154713924</t>
  </si>
  <si>
    <t>397491387703</t>
  </si>
  <si>
    <t>560313681705</t>
  </si>
  <si>
    <t>740711363915</t>
  </si>
  <si>
    <t>56988943922</t>
  </si>
  <si>
    <t>879173993922</t>
  </si>
  <si>
    <t>929019397703</t>
  </si>
  <si>
    <t>721094981766</t>
  </si>
  <si>
    <t>722014981766</t>
  </si>
  <si>
    <t>723484981766</t>
  </si>
  <si>
    <t>925147361771</t>
  </si>
  <si>
    <t>729286391777</t>
  </si>
  <si>
    <t>113762514892612</t>
  </si>
  <si>
    <t>966809643917</t>
  </si>
  <si>
    <t>692203453919</t>
  </si>
  <si>
    <t>389078114747</t>
  </si>
  <si>
    <t>390428114747</t>
  </si>
  <si>
    <t>89144277534916</t>
  </si>
  <si>
    <t>23090261190</t>
  </si>
  <si>
    <t>588069203919</t>
  </si>
  <si>
    <t>54241273924</t>
  </si>
  <si>
    <t>230138254082</t>
  </si>
  <si>
    <t>28992444865</t>
  </si>
  <si>
    <t>153389193647481</t>
  </si>
  <si>
    <t>175503454589813</t>
  </si>
  <si>
    <t>565943463933</t>
  </si>
  <si>
    <t>108226773933</t>
  </si>
  <si>
    <t>715755633932</t>
  </si>
  <si>
    <t>569976410159109</t>
  </si>
  <si>
    <t>628582521035416</t>
  </si>
  <si>
    <t>632160433935</t>
  </si>
  <si>
    <t>169369763936</t>
  </si>
  <si>
    <t>COMPANY1</t>
  </si>
  <si>
    <t>COMPANY2</t>
  </si>
  <si>
    <t>COMPANY3</t>
  </si>
  <si>
    <t>COMPANY4</t>
  </si>
  <si>
    <t>COMPANY5</t>
  </si>
  <si>
    <t>COMPANY6</t>
  </si>
  <si>
    <t>COMPANY7</t>
  </si>
  <si>
    <t>COMPANY8</t>
  </si>
  <si>
    <t>COMPANY9</t>
  </si>
  <si>
    <t>COMPANY10</t>
  </si>
  <si>
    <t>JRTV</t>
  </si>
  <si>
    <t>G</t>
  </si>
  <si>
    <t>UGY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</si>
</sst>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mm/dd/yy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5" fillId="0" borderId="0"/>
    <xf numFmtId="0" fontId="4" fillId="0" borderId="0"/>
    <xf numFmtId="0" fontId="8" fillId="0" borderId="0"/>
  </cellStyleXfs>
  <cellXfs count="61">
    <xf numFmtId="0" fontId="0" fillId="0" borderId="0" xfId="0"/>
    <xf numFmtId="14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  <xf numFmtId="1" fontId="0" fillId="0" borderId="0" xfId="0" applyNumberFormat="1" applyFont="1" applyBorder="1"/>
    <xf numFmtId="0" fontId="0" fillId="0" borderId="0" xfId="0" applyFont="1" applyBorder="1"/>
    <xf numFmtId="14" fontId="0" fillId="2" borderId="0" xfId="0" applyNumberFormat="1" applyFont="1" applyFill="1" applyBorder="1"/>
    <xf numFmtId="0" fontId="0" fillId="0" borderId="0" xfId="0" applyNumberFormat="1" applyFont="1" applyBorder="1"/>
    <xf numFmtId="14" fontId="0" fillId="0" borderId="0" xfId="0" applyNumberFormat="1" applyFont="1" applyBorder="1"/>
    <xf numFmtId="165" fontId="0" fillId="0" borderId="0" xfId="0" applyNumberFormat="1"/>
    <xf numFmtId="164" fontId="0" fillId="0" borderId="0" xfId="0" applyNumberFormat="1"/>
    <xf numFmtId="0" fontId="1" fillId="0" borderId="0" xfId="0" applyFont="1" applyFill="1"/>
    <xf numFmtId="0" fontId="1" fillId="0" borderId="0" xfId="0" applyFont="1" applyFill="1" applyBorder="1" applyAlignment="1">
      <alignment wrapText="1"/>
    </xf>
    <xf numFmtId="0" fontId="0" fillId="0" borderId="0" xfId="0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4" fontId="1" fillId="0" borderId="0" xfId="0" applyNumberFormat="1" applyFont="1" applyFill="1" applyBorder="1" applyAlignment="1">
      <alignment wrapText="1"/>
    </xf>
    <xf numFmtId="0" fontId="7" fillId="3" borderId="0" xfId="0" applyFont="1" applyFill="1"/>
    <xf numFmtId="0" fontId="3" fillId="3" borderId="0" xfId="1" applyFont="1" applyFill="1"/>
    <xf numFmtId="14" fontId="3" fillId="3" borderId="0" xfId="1" applyNumberFormat="1" applyFont="1" applyFill="1"/>
    <xf numFmtId="1" fontId="3" fillId="3" borderId="0" xfId="1" applyNumberFormat="1" applyFont="1" applyFill="1"/>
    <xf numFmtId="165" fontId="3" fillId="3" borderId="0" xfId="1" applyNumberFormat="1" applyFont="1" applyFill="1"/>
    <xf numFmtId="164" fontId="3" fillId="3" borderId="0" xfId="1" applyNumberFormat="1" applyFont="1" applyFill="1"/>
    <xf numFmtId="0" fontId="3" fillId="3" borderId="0" xfId="1" applyFont="1" applyFill="1" applyAlignment="1">
      <alignment wrapText="1"/>
    </xf>
    <xf numFmtId="14" fontId="0" fillId="4" borderId="0" xfId="0" applyNumberFormat="1" applyFill="1"/>
    <xf numFmtId="0" fontId="0" fillId="0" borderId="0" xfId="0" applyAlignment="1">
      <alignment horizontal="right"/>
    </xf>
    <xf numFmtId="0" fontId="0" fillId="0" borderId="0" xfId="0" applyFont="1" applyFill="1" applyAlignment="1">
      <alignment horizontal="left"/>
    </xf>
    <xf numFmtId="0" fontId="0" fillId="0" borderId="0" xfId="0" applyFill="1" applyAlignment="1">
      <alignment horizontal="right"/>
    </xf>
    <xf numFmtId="0" fontId="0" fillId="0" borderId="0" xfId="0" applyFont="1" applyFill="1" applyAlignment="1">
      <alignment horizontal="right"/>
    </xf>
    <xf numFmtId="2" fontId="1" fillId="0" borderId="0" xfId="0" applyNumberFormat="1" applyFont="1" applyFill="1" applyAlignment="1">
      <alignment horizontal="right"/>
    </xf>
    <xf numFmtId="0" fontId="1" fillId="5" borderId="0" xfId="0" applyFont="1" applyFill="1" applyAlignment="1">
      <alignment horizontal="left"/>
    </xf>
    <xf numFmtId="2" fontId="1" fillId="5" borderId="0" xfId="0" applyNumberFormat="1" applyFont="1" applyFill="1" applyAlignment="1">
      <alignment horizontal="right"/>
    </xf>
    <xf numFmtId="0" fontId="1" fillId="5" borderId="0" xfId="0" applyFont="1" applyFill="1"/>
    <xf numFmtId="0" fontId="0" fillId="5" borderId="0" xfId="0" applyFont="1" applyFill="1" applyAlignment="1">
      <alignment horizontal="right"/>
    </xf>
    <xf numFmtId="14" fontId="7" fillId="0" borderId="1" xfId="0" applyNumberFormat="1" applyFont="1" applyBorder="1"/>
    <xf numFmtId="14" fontId="7" fillId="0" borderId="1" xfId="0" applyNumberFormat="1" applyFont="1" applyBorder="1" applyAlignment="1">
      <alignment textRotation="90"/>
    </xf>
    <xf numFmtId="14" fontId="9" fillId="0" borderId="1" xfId="0" applyNumberFormat="1" applyFont="1" applyBorder="1"/>
    <xf numFmtId="0" fontId="9" fillId="6" borderId="1" xfId="0" applyFont="1" applyFill="1" applyBorder="1"/>
    <xf numFmtId="0" fontId="9" fillId="0" borderId="1" xfId="0" applyFont="1" applyBorder="1"/>
    <xf numFmtId="14" fontId="9" fillId="6" borderId="1" xfId="0" applyNumberFormat="1" applyFont="1" applyFill="1" applyBorder="1"/>
    <xf numFmtId="0" fontId="2" fillId="4" borderId="0" xfId="1" applyNumberFormat="1" applyFont="1" applyFill="1" applyBorder="1" applyAlignment="1"/>
    <xf numFmtId="0" fontId="0" fillId="2" borderId="0" xfId="0" applyNumberFormat="1" applyFont="1" applyFill="1" applyBorder="1"/>
    <xf numFmtId="0" fontId="1" fillId="7" borderId="0" xfId="0" applyFont="1" applyFill="1"/>
    <xf numFmtId="0" fontId="0" fillId="7" borderId="0" xfId="0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1" fillId="8" borderId="0" xfId="0" applyFont="1" applyFill="1"/>
    <xf numFmtId="0" fontId="0" fillId="8" borderId="0" xfId="0" applyFont="1" applyFill="1" applyAlignment="1">
      <alignment horizontal="right"/>
    </xf>
    <xf numFmtId="2" fontId="1" fillId="8" borderId="0" xfId="0" applyNumberFormat="1" applyFont="1" applyFill="1" applyAlignment="1">
      <alignment horizontal="right"/>
    </xf>
    <xf numFmtId="0" fontId="1" fillId="9" borderId="0" xfId="0" applyFont="1" applyFill="1"/>
    <xf numFmtId="0" fontId="0" fillId="9" borderId="0" xfId="0" applyFill="1"/>
    <xf numFmtId="0" fontId="7" fillId="0" borderId="0" xfId="0" applyFont="1" applyFill="1" applyAlignment="1">
      <alignment horizontal="left"/>
    </xf>
    <xf numFmtId="0" fontId="9" fillId="0" borderId="0" xfId="0" applyFont="1" applyFill="1" applyAlignment="1">
      <alignment horizontal="right"/>
    </xf>
    <xf numFmtId="2" fontId="7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9" fillId="0" borderId="0" xfId="0" applyNumberFormat="1" applyFont="1" applyFill="1" applyAlignment="1">
      <alignment horizontal="right"/>
    </xf>
    <xf numFmtId="0" fontId="0" fillId="0" borderId="0" xfId="0" applyFill="1" applyBorder="1"/>
    <xf numFmtId="0" fontId="0" fillId="0" borderId="0" xfId="0" applyFont="1" applyFill="1" applyBorder="1"/>
    <xf numFmtId="0" fontId="0" fillId="0" borderId="0" xfId="0" applyFont="1" applyFill="1" applyBorder="1" applyAlignment="1">
      <alignment horizontal="left"/>
    </xf>
    <xf numFmtId="15" fontId="0" fillId="0" borderId="0" xfId="0" applyNumberFormat="1"/>
    <xf numFmtId="14" fontId="0" fillId="4" borderId="0" xfId="0" applyNumberFormat="1" applyFont="1" applyFill="1"/>
    <xf numFmtId="0" fontId="0" fillId="0" borderId="0" xfId="0" applyAlignment="1">
      <alignment horizontal="left"/>
    </xf>
    <xf numFmtId="1" fontId="0" fillId="0" borderId="0" xfId="0" applyNumberFormat="1" applyAlignment="1">
      <alignment horizontal="right"/>
    </xf>
  </cellXfs>
  <cellStyles count="5">
    <cellStyle name="Normal" xfId="0" builtinId="0"/>
    <cellStyle name="Normal 2" xfId="1" xr:uid="{00000000-0005-0000-0000-00002F000000}"/>
    <cellStyle name="Normal 2 2" xfId="3" xr:uid="{00000000-0005-0000-0000-000001000000}"/>
    <cellStyle name="Normal 3" xfId="2" xr:uid="{00000000-0005-0000-0000-000030000000}"/>
    <cellStyle name="Normal 4" xfId="4" xr:uid="{00000000-0005-0000-0000-000032000000}"/>
  </cellStyles>
  <dxfs count="46"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9" formatCode="m/d/yyyy"/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4" formatCode="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&quot;$&quot;#,##0.00"/>
    </dxf>
    <dxf>
      <numFmt numFmtId="165" formatCode="mm/dd/yy;@"/>
    </dxf>
    <dxf>
      <numFmt numFmtId="19" formatCode="m/d/yyyy"/>
    </dxf>
    <dxf>
      <numFmt numFmtId="165" formatCode="mm/dd/yy;@"/>
    </dxf>
    <dxf>
      <numFmt numFmtId="1" formatCode="0"/>
      <alignment horizontal="right" vertical="bottom" textRotation="0" wrapText="0" indent="0" justifyLastLine="0" shrinkToFit="0" readingOrder="0"/>
    </dxf>
    <dxf>
      <numFmt numFmtId="19" formatCode="m/d/yyyy"/>
      <fill>
        <patternFill patternType="solid">
          <fgColor indexed="64"/>
          <bgColor theme="4" tint="0.79998168889431442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numFmt numFmtId="2" formatCode="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</font>
      <numFmt numFmtId="2" formatCode="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1171575</xdr:colOff>
          <xdr:row>0</xdr:row>
          <xdr:rowOff>28575</xdr:rowOff>
        </xdr:from>
        <xdr:to>
          <xdr:col>2</xdr:col>
          <xdr:colOff>57150</xdr:colOff>
          <xdr:row>0</xdr:row>
          <xdr:rowOff>266700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CSA #'s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0</xdr:row>
          <xdr:rowOff>76200</xdr:rowOff>
        </xdr:from>
        <xdr:to>
          <xdr:col>1</xdr:col>
          <xdr:colOff>666750</xdr:colOff>
          <xdr:row>0</xdr:row>
          <xdr:rowOff>361950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CSA #'s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89C8ACDF-BD6A-4D0B-B786-06DDB6D6CDF8}" name="LossSummary" displayName="LossSummary" ref="A6:D15" totalsRowShown="0" headerRowDxfId="45" dataDxfId="44">
  <autoFilter ref="A6:D15" xr:uid="{78E927FE-53BE-476A-93AC-EB3FB42DF4F3}"/>
  <sortState xmlns:xlrd2="http://schemas.microsoft.com/office/spreadsheetml/2017/richdata2" ref="A7:D15">
    <sortCondition descending="1" ref="D6:D15"/>
  </sortState>
  <tableColumns count="4">
    <tableColumn id="1" xr3:uid="{8D1C94E6-2C47-491B-B3E7-B537334CEE1B}" name="Loss Summary" dataDxfId="43"/>
    <tableColumn id="6" xr3:uid="{6856E890-85EB-4550-82B9-3307B5F38501}" name="Total Loss" dataDxfId="42">
      <calculatedColumnFormula>SUMIF(#REF!,LossSummary[[#This Row],[Loss Summary]],#REF!)</calculatedColumnFormula>
    </tableColumn>
    <tableColumn id="3" xr3:uid="{7FADB8A9-6585-4D73-822A-0E9DA1014D82}" name="Total Drivers" dataDxfId="41">
      <calculatedColumnFormula>COUNTIF(#REF!,A7)</calculatedColumnFormula>
    </tableColumn>
    <tableColumn id="4" xr3:uid="{C67BF35E-1A5E-4DDD-926D-4BF50B3CF502}" name="Loss/Driver/Month" dataDxfId="40">
      <calculatedColumnFormula>LossSummary[[#This Row],[Total Loss]]/LossSummary[[#This Row],[Total Drivers]]/$D$3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0756BE2-0F81-4D29-957C-52DF9F7B197C}" name="DamageSummary" displayName="DamageSummary" ref="A18:D27" totalsRowShown="0" headerRowDxfId="39" dataDxfId="38">
  <autoFilter ref="A18:D27" xr:uid="{39C8E481-4F69-4E55-8C7A-41D508C87C4D}"/>
  <sortState xmlns:xlrd2="http://schemas.microsoft.com/office/spreadsheetml/2017/richdata2" ref="A19:D27">
    <sortCondition descending="1" ref="D18:D27"/>
  </sortState>
  <tableColumns count="4">
    <tableColumn id="1" xr3:uid="{B71A9536-6BA0-4B87-B2B4-8A56A8EFADEF}" name="Damage Summary" dataDxfId="37"/>
    <tableColumn id="5" xr3:uid="{C9A9BEF8-FB7E-42EA-8776-8F07DC7518E8}" name="Total Damage" dataDxfId="36">
      <calculatedColumnFormula>SUMIF(#REF!,DamageSummary[[#This Row],[Damage Summary]],#REF!)</calculatedColumnFormula>
    </tableColumn>
    <tableColumn id="3" xr3:uid="{393AFBB6-9785-427C-8DF2-6858F22DF238}" name="Total Drivers" dataDxfId="35">
      <calculatedColumnFormula>COUNTIF(#REF!,A19)</calculatedColumnFormula>
    </tableColumn>
    <tableColumn id="4" xr3:uid="{39CE19C4-F1D8-452E-887F-70102C14285F}" name="Damages/Driver/Month" dataDxfId="34">
      <calculatedColumnFormula>DamageSummary[[#This Row],[Total Damage]]/DamageSummary[[#This Row],[Total Drivers]]/$D$2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97A88C3-5A37-4967-A717-9F1A797CE545}" name="ClaimSummary" displayName="ClaimSummary" ref="A30:D39" totalsRowShown="0" headerRowDxfId="33" dataDxfId="32">
  <autoFilter ref="A30:D39" xr:uid="{CB0B5EA5-E5E5-4D3B-A986-55E7E558E496}"/>
  <sortState xmlns:xlrd2="http://schemas.microsoft.com/office/spreadsheetml/2017/richdata2" ref="A31:D39">
    <sortCondition descending="1" ref="D6:D15"/>
  </sortState>
  <tableColumns count="4">
    <tableColumn id="1" xr3:uid="{E3EA5AE1-43C9-473E-9468-E68035911194}" name="All Claims" dataDxfId="31"/>
    <tableColumn id="2" xr3:uid="{02E9CFD0-681A-435A-B0C4-7BB98C211B0C}" name="Total Claims" dataDxfId="30">
      <calculatedColumnFormula>SUMIF(#REF!,ClaimSummary[[#This Row],[All Claims]],#REF!)</calculatedColumnFormula>
    </tableColumn>
    <tableColumn id="3" xr3:uid="{918D143C-4AF7-48F7-956C-7698B4A73319}" name="Total Drivers" dataDxfId="29">
      <calculatedColumnFormula>COUNTIF(#REF!,A31)</calculatedColumnFormula>
    </tableColumn>
    <tableColumn id="4" xr3:uid="{E1B9A464-0DB3-4F12-99E8-15762C000AC8}" name="Claims/Driver/Month" dataDxfId="28">
      <calculatedColumnFormula>VLOOKUP(ClaimSummary[[#This Row],[All Claims]],LossSummary[],4,0)+VLOOKUP(ClaimSummary[[#This Row],[All Claims]],DamageSummary[],4,0)</calculatedColumnFormula>
    </tableColumn>
  </tableColumns>
  <tableStyleInfo name="TableStyleMedium2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8B6F19-A678-4F7D-A379-83A7686AD5AE}" name="Table1" displayName="Table1" ref="A1:B13" totalsRowShown="0" headerRowDxfId="27">
  <autoFilter ref="A1:B13" xr:uid="{44D5A3FB-40F9-4142-837D-379EBEA0A737}"/>
  <sortState xmlns:xlrd2="http://schemas.microsoft.com/office/spreadsheetml/2017/richdata2" ref="A2:B13">
    <sortCondition descending="1" ref="A1:A13"/>
  </sortState>
  <tableColumns count="2">
    <tableColumn id="1" xr3:uid="{4E14E3A4-2A11-4734-8640-F7BE7374958B}" name="CSA #" dataDxfId="26"/>
    <tableColumn id="2" xr3:uid="{CA7E2DF1-5CD7-475C-80FC-1BEAE8401FC1}" name="CSA Name" dataDxfId="25"/>
  </tableColumns>
  <tableStyleInfo name="TableStyleMedium1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EC1712-667B-40AA-A984-B15A65BEC36F}" name="Losses" displayName="Losses" ref="A1:AH8" totalsRowShown="0" headerRowDxfId="24" headerRowCellStyle="Normal 2">
  <autoFilter ref="A1:AH8" xr:uid="{A8EB73C2-124F-4D6A-ABB8-B482FF14A01B}"/>
  <sortState xmlns:xlrd2="http://schemas.microsoft.com/office/spreadsheetml/2017/richdata2" ref="A2:AH8">
    <sortCondition ref="D1:D8"/>
  </sortState>
  <tableColumns count="34">
    <tableColumn id="1" xr3:uid="{133F9DDE-DE8C-4164-96E5-BB3864AF9D2A}" name="CSA Name" dataDxfId="23">
      <calculatedColumnFormula>VLOOKUP(B2,Table1[],2,FALSE)</calculatedColumnFormula>
    </tableColumn>
    <tableColumn id="2" xr3:uid="{5BC426D5-14E5-465B-8CFE-A1CF2192D9B4}" name="CSA #"/>
    <tableColumn id="3" xr3:uid="{9EB6B18B-E35B-42D2-B8DA-5CD6D794C91B}" name="SQI Month"/>
    <tableColumn id="4" xr3:uid="{A1DA9262-5067-44F7-9623-FA3D460B8F7C}" name="W/E" dataDxfId="22"/>
    <tableColumn id="5" xr3:uid="{3C53255A-2889-4BDB-9E97-B859FD5BD4BE}" name="District"/>
    <tableColumn id="6" xr3:uid="{17C33CF0-54C7-4B92-9654-0981BFDDBD7B}" name="Station"/>
    <tableColumn id="7" xr3:uid="{D35A9DD4-DD47-43AE-8B6D-5734059D2C2C}" name="Claim Type"/>
    <tableColumn id="8" xr3:uid="{AD99A944-B53F-4707-A28C-2265E34028BE}" name="Claim Description"/>
    <tableColumn id="9" xr3:uid="{D0E9B939-9BCF-4EF5-8498-52319877F615}" name="Paid_Denied"/>
    <tableColumn id="10" xr3:uid="{67E93735-914A-4DD8-B8F9-9DA6410112B1}" name="Deny Reason Description"/>
    <tableColumn id="11" xr3:uid="{F9774574-5A14-4D26-9EA5-BD233D01FAB7}" name="Tracking ID" dataDxfId="21"/>
    <tableColumn id="12" xr3:uid="{C87C415F-CB25-4AD8-AF6E-DF1BC9D8F22C}" name="Pkg Ship Date" dataDxfId="20"/>
    <tableColumn id="13" xr3:uid="{6B1F6B44-734C-4567-9175-8CB5D6F600BE}" name="Shipper Name"/>
    <tableColumn id="14" xr3:uid="{8A3AC6E8-03CB-4050-ADC0-C27CBA2EAF28}" name="Natl Account Name" dataDxfId="19"/>
    <tableColumn id="15" xr3:uid="{FAB63746-8048-4BD4-B428-1DEAF007C23F}" name="Dlvry Date" dataDxfId="18"/>
    <tableColumn id="16" xr3:uid="{73D9AD9B-FBEA-4F52-A3B7-4442447C79E0}" name="Amount Claimed" dataDxfId="17"/>
    <tableColumn id="17" xr3:uid="{38636058-B4F4-4D0F-9B9E-8CB834FA2843}" name="Pkg Weight"/>
    <tableColumn id="18" xr3:uid="{27370CF8-DD9F-43A7-8A90-EDB474EB4B37}" name="Commodity"/>
    <tableColumn id="19" xr3:uid="{091E4ED0-D25D-48FF-ACCF-EC39B7BE2156}" name="Recipient Name"/>
    <tableColumn id="20" xr3:uid="{AD2CCB96-CE6C-4795-AE72-9ABE0977CBA4}" name="Recipient Address"/>
    <tableColumn id="21" xr3:uid="{BF01F0B6-6250-4164-AC24-96FF30281161}" name="Recipient Address2"/>
    <tableColumn id="22" xr3:uid="{A32E3493-3252-4DFC-B03B-08FEBC0D0B1A}" name="Recipient City"/>
    <tableColumn id="23" xr3:uid="{1DE2F996-963E-4884-8007-7B5EFE57FDFB}" name="Recipient Postal Code"/>
    <tableColumn id="24" xr3:uid="{4BCEB726-7E2F-4418-A1B6-A62B47F533B7}" name="Residential Flag"/>
    <tableColumn id="25" xr3:uid="{20F5CC2E-6537-4CDD-A3C7-09F28860EBF3}" name="High Rise"/>
    <tableColumn id="26" xr3:uid="{870BBFDC-3110-42F8-8A03-D2BE66DAFD88}" name="Door Tag"/>
    <tableColumn id="27" xr3:uid="{DF0C369C-6B8A-4794-BD47-8C403B1970B2}" name="PSA/CSA"/>
    <tableColumn id="28" xr3:uid="{803B89A7-873F-43E8-8750-3F11D461E20B}" name="Dispute Delivery Case Outcome"/>
    <tableColumn id="29" xr3:uid="{E3E89444-209E-4FDE-B833-AF9104751A95}" name="Missing Pkg Reported Dt"/>
    <tableColumn id="30" xr3:uid="{36536977-D06D-4163-BDCA-6E634D4555CB}" name="NDS Pkg Date"/>
    <tableColumn id="31" xr3:uid="{C6A9DA9E-D0A7-4CAC-B4D0-2CAD444C517E}" name="WALMART DSV"/>
    <tableColumn id="32" xr3:uid="{C98CEEDE-6C60-4878-9604-C40C548C6BB2}" name="Last_Scan_Date"/>
    <tableColumn id="33" xr3:uid="{41089DB8-FC96-42C2-B431-6400DFA21117}" name="Last_Scan_Loc"/>
    <tableColumn id="34" xr3:uid="{4843655F-62E5-4C85-A793-1DEEB8EE124A}" name="Last_Scan_Description" dataDxfId="1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C0AF7A-BE82-4FAE-B718-84ACCAFFA221}" name="Damages" displayName="Damages" ref="A1:K102" totalsRowShown="0" headerRowDxfId="15" dataDxfId="14">
  <autoFilter ref="A1:K102" xr:uid="{797A1AFD-2554-41E8-BCAB-D6EC0270BD5F}"/>
  <sortState xmlns:xlrd2="http://schemas.microsoft.com/office/spreadsheetml/2017/richdata2" ref="A2:K102">
    <sortCondition descending="1" ref="K1:K102"/>
  </sortState>
  <tableColumns count="11">
    <tableColumn id="1" xr3:uid="{AA7A0CD2-5F83-469D-ACBE-5D6FDA4F8675}" name="CSA Name" dataDxfId="13">
      <calculatedColumnFormula>IFERROR(IF(ISBLANK(B2),"No Delivery Data",VLOOKUP(B2,Table1[],2,FALSE)), "Not delivered at ZPRV")</calculatedColumnFormula>
    </tableColumn>
    <tableColumn id="2" xr3:uid="{28FC9251-B731-41D5-9C86-FC50065A3B85}" name="CSA #" dataDxfId="12"/>
    <tableColumn id="5" xr3:uid="{18B59E08-B7CC-46B8-B848-E17CFC19BB6B}" name="Tracking ID" dataDxfId="11"/>
    <tableColumn id="6" xr3:uid="{D29C8198-7B20-4F4D-BDAD-F8F388BE09AC}" name="Region" dataDxfId="10"/>
    <tableColumn id="7" xr3:uid="{8AF8E6A0-44A1-4C90-89B4-C96B2164EC31}" name="District" dataDxfId="9"/>
    <tableColumn id="8" xr3:uid="{F7E00D9B-8AD5-41D6-B59C-DE7019233ABB}" name="Station" dataDxfId="8"/>
    <tableColumn id="9" xr3:uid="{D710D94D-6BCF-4065-B34F-AD0CE56486EE}" name="Charge Station Number" dataDxfId="7"/>
    <tableColumn id="10" xr3:uid="{BC248F9C-AC8C-42CB-A24A-CF2D6D0E20D5}" name="Pickup Station" dataDxfId="6"/>
    <tableColumn id="11" xr3:uid="{FA93AD65-E28B-4B57-ADDE-D78B1EB0EAAB}" name="Delivery Station" dataDxfId="5"/>
    <tableColumn id="12" xr3:uid="{EE7813E3-B7FB-468E-ABAD-366453E10701}" name="Pickup Date" dataDxfId="4"/>
    <tableColumn id="13" xr3:uid="{0320092F-87AB-4A0B-AA4E-4265C8D289CF}" name="Claim Close Date" dataDxfId="3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1536-A272-4AA9-8AC5-62C464344675}">
  <sheetPr codeName="Sheet4">
    <pageSetUpPr fitToPage="1"/>
  </sheetPr>
  <dimension ref="A1:BH68"/>
  <sheetViews>
    <sheetView topLeftCell="B1" workbookViewId="0">
      <selection sqref="A1:XFD1048576"/>
    </sheetView>
  </sheetViews>
  <sheetFormatPr defaultRowHeight="15" x14ac:dyDescent="0.25"/>
  <cols>
    <col min="1" max="1" width="20.5703125" style="37" bestFit="1" customWidth="1"/>
    <col min="2" max="30" width="3.7109375" style="37" bestFit="1" customWidth="1"/>
    <col min="31" max="31" width="20.5703125" style="37" bestFit="1" customWidth="1"/>
    <col min="32" max="60" width="3.7109375" style="37" bestFit="1" customWidth="1"/>
    <col min="61" max="16384" width="9.140625" style="37"/>
  </cols>
  <sheetData>
    <row r="1" spans="1:60" s="35" customFormat="1" ht="51" x14ac:dyDescent="0.25">
      <c r="A1" s="33" t="s">
        <v>53</v>
      </c>
      <c r="B1" s="34" t="s">
        <v>123</v>
      </c>
      <c r="C1" s="34" t="s">
        <v>124</v>
      </c>
      <c r="D1" s="34" t="s">
        <v>125</v>
      </c>
      <c r="E1" s="34" t="s">
        <v>126</v>
      </c>
      <c r="F1" s="34" t="s">
        <v>127</v>
      </c>
      <c r="G1" s="34" t="s">
        <v>128</v>
      </c>
      <c r="H1" s="34" t="s">
        <v>129</v>
      </c>
      <c r="I1" s="34" t="s">
        <v>130</v>
      </c>
      <c r="J1" s="34" t="s">
        <v>131</v>
      </c>
      <c r="K1" s="34" t="s">
        <v>132</v>
      </c>
      <c r="L1" s="34" t="s">
        <v>133</v>
      </c>
      <c r="M1" s="34" t="s">
        <v>134</v>
      </c>
      <c r="N1" s="34" t="s">
        <v>135</v>
      </c>
      <c r="O1" s="34" t="s">
        <v>136</v>
      </c>
      <c r="P1" s="34" t="s">
        <v>137</v>
      </c>
      <c r="Q1" s="34" t="s">
        <v>138</v>
      </c>
      <c r="R1" s="34" t="s">
        <v>139</v>
      </c>
      <c r="S1" s="34" t="s">
        <v>140</v>
      </c>
      <c r="T1" s="34" t="s">
        <v>141</v>
      </c>
      <c r="U1" s="34" t="s">
        <v>142</v>
      </c>
      <c r="V1" s="34" t="s">
        <v>143</v>
      </c>
      <c r="W1" s="34" t="s">
        <v>144</v>
      </c>
      <c r="X1" s="34" t="s">
        <v>145</v>
      </c>
      <c r="Y1" s="34" t="s">
        <v>146</v>
      </c>
      <c r="Z1" s="34" t="s">
        <v>147</v>
      </c>
      <c r="AA1" s="34" t="s">
        <v>148</v>
      </c>
      <c r="AB1" s="34" t="s">
        <v>149</v>
      </c>
      <c r="AC1" s="34" t="s">
        <v>150</v>
      </c>
      <c r="AD1" s="34" t="s">
        <v>151</v>
      </c>
      <c r="AE1" s="33" t="s">
        <v>53</v>
      </c>
      <c r="AF1" s="34" t="s">
        <v>152</v>
      </c>
      <c r="AG1" s="34" t="s">
        <v>153</v>
      </c>
      <c r="AH1" s="34" t="s">
        <v>154</v>
      </c>
      <c r="AI1" s="34">
        <v>44025</v>
      </c>
      <c r="AJ1" s="34">
        <v>44026</v>
      </c>
      <c r="AK1" s="34">
        <v>44027</v>
      </c>
      <c r="AL1" s="34">
        <v>44028</v>
      </c>
      <c r="AM1" s="34">
        <v>44029</v>
      </c>
      <c r="AN1" s="34">
        <v>44030</v>
      </c>
      <c r="AO1" s="34">
        <v>44031</v>
      </c>
      <c r="AP1" s="34">
        <v>44032</v>
      </c>
      <c r="AQ1" s="34">
        <v>44033</v>
      </c>
      <c r="AR1" s="34">
        <v>44034</v>
      </c>
      <c r="AS1" s="34">
        <v>44035</v>
      </c>
      <c r="AT1" s="34">
        <v>44036</v>
      </c>
      <c r="AU1" s="34">
        <v>44037</v>
      </c>
      <c r="AV1" s="34">
        <v>44038</v>
      </c>
      <c r="AW1" s="34">
        <v>44039</v>
      </c>
      <c r="AX1" s="34">
        <v>44040</v>
      </c>
      <c r="AY1" s="34">
        <v>44041</v>
      </c>
      <c r="AZ1" s="34">
        <v>44042</v>
      </c>
      <c r="BA1" s="34">
        <v>44043</v>
      </c>
      <c r="BB1" s="34">
        <v>44043</v>
      </c>
      <c r="BC1" s="34">
        <v>44044</v>
      </c>
      <c r="BD1" s="34">
        <v>44045</v>
      </c>
      <c r="BE1" s="34">
        <v>44046</v>
      </c>
      <c r="BF1" s="34">
        <v>44047</v>
      </c>
      <c r="BG1" s="34">
        <v>44048</v>
      </c>
      <c r="BH1" s="34">
        <v>44049</v>
      </c>
    </row>
    <row r="2" spans="1:60" x14ac:dyDescent="0.25">
      <c r="A2" s="36" t="s">
        <v>93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 t="s">
        <v>93</v>
      </c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</row>
    <row r="3" spans="1:60" x14ac:dyDescent="0.25">
      <c r="A3" s="37" t="s">
        <v>94</v>
      </c>
      <c r="I3" s="35"/>
      <c r="AE3" s="37" t="s">
        <v>94</v>
      </c>
    </row>
    <row r="4" spans="1:60" x14ac:dyDescent="0.25">
      <c r="A4" s="36" t="s">
        <v>95</v>
      </c>
      <c r="B4" s="36"/>
      <c r="C4" s="36"/>
      <c r="D4" s="36"/>
      <c r="E4" s="36"/>
      <c r="F4" s="36"/>
      <c r="G4" s="36"/>
      <c r="H4" s="36"/>
      <c r="I4" s="38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 t="s">
        <v>95</v>
      </c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</row>
    <row r="5" spans="1:60" x14ac:dyDescent="0.25">
      <c r="A5" s="37" t="s">
        <v>96</v>
      </c>
      <c r="I5" s="35"/>
      <c r="AE5" s="37" t="s">
        <v>96</v>
      </c>
    </row>
    <row r="6" spans="1:60" x14ac:dyDescent="0.25">
      <c r="A6" s="36" t="s">
        <v>97</v>
      </c>
      <c r="B6" s="36"/>
      <c r="C6" s="36"/>
      <c r="D6" s="36"/>
      <c r="E6" s="36"/>
      <c r="F6" s="36"/>
      <c r="G6" s="36"/>
      <c r="H6" s="36"/>
      <c r="I6" s="38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 t="s">
        <v>97</v>
      </c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</row>
    <row r="7" spans="1:60" x14ac:dyDescent="0.25">
      <c r="A7" s="37" t="s">
        <v>98</v>
      </c>
      <c r="I7" s="35"/>
      <c r="AE7" s="37" t="s">
        <v>98</v>
      </c>
    </row>
    <row r="8" spans="1:60" x14ac:dyDescent="0.25">
      <c r="A8" s="36" t="s">
        <v>87</v>
      </c>
      <c r="B8" s="36"/>
      <c r="C8" s="36"/>
      <c r="D8" s="36"/>
      <c r="E8" s="36"/>
      <c r="F8" s="36"/>
      <c r="G8" s="36"/>
      <c r="H8" s="36"/>
      <c r="I8" s="38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 t="s">
        <v>87</v>
      </c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</row>
    <row r="9" spans="1:60" x14ac:dyDescent="0.25">
      <c r="A9" s="37" t="s">
        <v>99</v>
      </c>
      <c r="I9" s="35"/>
      <c r="AE9" s="37" t="s">
        <v>99</v>
      </c>
    </row>
    <row r="10" spans="1:60" x14ac:dyDescent="0.25">
      <c r="A10" s="36" t="s">
        <v>100</v>
      </c>
      <c r="B10" s="36"/>
      <c r="C10" s="36"/>
      <c r="D10" s="36"/>
      <c r="E10" s="36"/>
      <c r="F10" s="36"/>
      <c r="G10" s="36"/>
      <c r="H10" s="36"/>
      <c r="I10" s="38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 t="s">
        <v>100</v>
      </c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</row>
    <row r="11" spans="1:60" x14ac:dyDescent="0.25">
      <c r="A11" s="37" t="s">
        <v>82</v>
      </c>
      <c r="I11" s="35"/>
      <c r="AE11" s="37" t="s">
        <v>82</v>
      </c>
    </row>
    <row r="12" spans="1:60" x14ac:dyDescent="0.25">
      <c r="A12" s="36" t="s">
        <v>71</v>
      </c>
      <c r="B12" s="36"/>
      <c r="C12" s="36"/>
      <c r="D12" s="36"/>
      <c r="E12" s="36"/>
      <c r="F12" s="36"/>
      <c r="G12" s="36"/>
      <c r="H12" s="36"/>
      <c r="I12" s="38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 t="s">
        <v>71</v>
      </c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</row>
    <row r="13" spans="1:60" x14ac:dyDescent="0.25">
      <c r="A13" s="37" t="s">
        <v>79</v>
      </c>
      <c r="I13" s="35"/>
      <c r="AE13" s="37" t="s">
        <v>79</v>
      </c>
    </row>
    <row r="14" spans="1:60" x14ac:dyDescent="0.25">
      <c r="A14" s="36" t="s">
        <v>54</v>
      </c>
      <c r="B14" s="36"/>
      <c r="C14" s="36"/>
      <c r="D14" s="36"/>
      <c r="E14" s="36"/>
      <c r="F14" s="36"/>
      <c r="G14" s="36"/>
      <c r="H14" s="36"/>
      <c r="I14" s="38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 t="s">
        <v>54</v>
      </c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</row>
    <row r="15" spans="1:60" x14ac:dyDescent="0.25">
      <c r="A15" s="37" t="s">
        <v>57</v>
      </c>
      <c r="I15" s="35"/>
      <c r="AE15" s="37" t="s">
        <v>57</v>
      </c>
    </row>
    <row r="16" spans="1:60" x14ac:dyDescent="0.25">
      <c r="A16" s="36" t="s">
        <v>81</v>
      </c>
      <c r="B16" s="36"/>
      <c r="C16" s="36"/>
      <c r="D16" s="36"/>
      <c r="E16" s="36"/>
      <c r="F16" s="36"/>
      <c r="G16" s="36"/>
      <c r="H16" s="36"/>
      <c r="I16" s="38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 t="s">
        <v>81</v>
      </c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</row>
    <row r="17" spans="1:60" x14ac:dyDescent="0.25">
      <c r="A17" s="37" t="s">
        <v>155</v>
      </c>
      <c r="I17" s="35"/>
      <c r="AE17" s="37" t="s">
        <v>155</v>
      </c>
    </row>
    <row r="18" spans="1:60" x14ac:dyDescent="0.25">
      <c r="A18" s="36" t="s">
        <v>75</v>
      </c>
      <c r="B18" s="36"/>
      <c r="C18" s="36"/>
      <c r="D18" s="36"/>
      <c r="E18" s="36"/>
      <c r="F18" s="36"/>
      <c r="G18" s="36"/>
      <c r="H18" s="36"/>
      <c r="I18" s="38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 t="s">
        <v>75</v>
      </c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</row>
    <row r="19" spans="1:60" x14ac:dyDescent="0.25">
      <c r="A19" s="37" t="s">
        <v>101</v>
      </c>
      <c r="I19" s="35"/>
      <c r="AE19" s="37" t="s">
        <v>101</v>
      </c>
    </row>
    <row r="20" spans="1:60" x14ac:dyDescent="0.25">
      <c r="A20" s="36" t="s">
        <v>102</v>
      </c>
      <c r="B20" s="36"/>
      <c r="C20" s="36"/>
      <c r="D20" s="36"/>
      <c r="E20" s="36"/>
      <c r="F20" s="36"/>
      <c r="G20" s="36"/>
      <c r="H20" s="36"/>
      <c r="I20" s="38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 t="s">
        <v>102</v>
      </c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</row>
    <row r="21" spans="1:60" x14ac:dyDescent="0.25">
      <c r="A21" s="37" t="s">
        <v>69</v>
      </c>
      <c r="I21" s="35"/>
      <c r="AE21" s="37" t="s">
        <v>69</v>
      </c>
    </row>
    <row r="22" spans="1:60" x14ac:dyDescent="0.25">
      <c r="A22" s="36" t="s">
        <v>103</v>
      </c>
      <c r="B22" s="36"/>
      <c r="C22" s="36"/>
      <c r="D22" s="36"/>
      <c r="E22" s="36"/>
      <c r="F22" s="36"/>
      <c r="G22" s="36"/>
      <c r="H22" s="36"/>
      <c r="I22" s="38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 t="s">
        <v>103</v>
      </c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</row>
    <row r="23" spans="1:60" x14ac:dyDescent="0.25">
      <c r="A23" s="37" t="s">
        <v>104</v>
      </c>
      <c r="I23" s="35"/>
      <c r="AE23" s="37" t="s">
        <v>104</v>
      </c>
    </row>
    <row r="24" spans="1:60" x14ac:dyDescent="0.25">
      <c r="A24" s="36" t="s">
        <v>105</v>
      </c>
      <c r="B24" s="36"/>
      <c r="C24" s="36"/>
      <c r="D24" s="36"/>
      <c r="E24" s="36"/>
      <c r="F24" s="36"/>
      <c r="G24" s="36"/>
      <c r="H24" s="36"/>
      <c r="I24" s="38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 t="s">
        <v>105</v>
      </c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</row>
    <row r="25" spans="1:60" x14ac:dyDescent="0.25">
      <c r="A25" s="37" t="s">
        <v>62</v>
      </c>
      <c r="I25" s="35"/>
      <c r="AE25" s="37" t="s">
        <v>62</v>
      </c>
    </row>
    <row r="26" spans="1:60" x14ac:dyDescent="0.25">
      <c r="A26" s="36" t="s">
        <v>106</v>
      </c>
      <c r="B26" s="36"/>
      <c r="C26" s="36"/>
      <c r="D26" s="36"/>
      <c r="E26" s="36"/>
      <c r="F26" s="36"/>
      <c r="G26" s="36"/>
      <c r="H26" s="36"/>
      <c r="I26" s="38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 t="s">
        <v>106</v>
      </c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</row>
    <row r="27" spans="1:60" x14ac:dyDescent="0.25">
      <c r="A27" s="37" t="s">
        <v>107</v>
      </c>
      <c r="I27" s="35"/>
      <c r="AE27" s="37" t="s">
        <v>107</v>
      </c>
    </row>
    <row r="28" spans="1:60" x14ac:dyDescent="0.25">
      <c r="A28" s="36" t="s">
        <v>56</v>
      </c>
      <c r="B28" s="36"/>
      <c r="C28" s="36"/>
      <c r="D28" s="36"/>
      <c r="E28" s="36"/>
      <c r="F28" s="36"/>
      <c r="G28" s="36"/>
      <c r="H28" s="36"/>
      <c r="I28" s="38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 t="s">
        <v>56</v>
      </c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</row>
    <row r="29" spans="1:60" x14ac:dyDescent="0.25">
      <c r="A29" s="37" t="s">
        <v>108</v>
      </c>
      <c r="I29" s="35"/>
      <c r="AE29" s="37" t="s">
        <v>108</v>
      </c>
    </row>
    <row r="30" spans="1:60" x14ac:dyDescent="0.25">
      <c r="A30" s="36" t="s">
        <v>109</v>
      </c>
      <c r="B30" s="36"/>
      <c r="C30" s="36"/>
      <c r="D30" s="36"/>
      <c r="E30" s="36"/>
      <c r="F30" s="36"/>
      <c r="G30" s="36"/>
      <c r="H30" s="36"/>
      <c r="I30" s="38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 t="s">
        <v>109</v>
      </c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</row>
    <row r="31" spans="1:60" x14ac:dyDescent="0.25">
      <c r="A31" s="37" t="s">
        <v>72</v>
      </c>
      <c r="I31" s="35"/>
      <c r="AE31" s="37" t="s">
        <v>72</v>
      </c>
    </row>
    <row r="32" spans="1:60" x14ac:dyDescent="0.25">
      <c r="A32" s="36" t="s">
        <v>63</v>
      </c>
      <c r="B32" s="36"/>
      <c r="C32" s="36"/>
      <c r="D32" s="36"/>
      <c r="E32" s="36"/>
      <c r="F32" s="36"/>
      <c r="G32" s="36"/>
      <c r="H32" s="36"/>
      <c r="I32" s="38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 t="s">
        <v>63</v>
      </c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</row>
    <row r="33" spans="1:60" x14ac:dyDescent="0.25">
      <c r="A33" s="37" t="s">
        <v>60</v>
      </c>
      <c r="I33" s="35"/>
      <c r="AE33" s="37" t="s">
        <v>60</v>
      </c>
    </row>
    <row r="34" spans="1:60" x14ac:dyDescent="0.25">
      <c r="A34" s="36" t="s">
        <v>55</v>
      </c>
      <c r="B34" s="36"/>
      <c r="C34" s="36"/>
      <c r="D34" s="36"/>
      <c r="E34" s="36"/>
      <c r="F34" s="36"/>
      <c r="G34" s="36"/>
      <c r="H34" s="36"/>
      <c r="I34" s="38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 t="s">
        <v>55</v>
      </c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</row>
    <row r="35" spans="1:60" x14ac:dyDescent="0.25">
      <c r="A35" s="37" t="s">
        <v>85</v>
      </c>
      <c r="AE35" s="37" t="s">
        <v>85</v>
      </c>
    </row>
    <row r="36" spans="1:60" x14ac:dyDescent="0.25">
      <c r="A36" s="36" t="s">
        <v>110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 t="s">
        <v>110</v>
      </c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</row>
    <row r="37" spans="1:60" x14ac:dyDescent="0.25">
      <c r="A37" s="37" t="s">
        <v>111</v>
      </c>
      <c r="AE37" s="37" t="s">
        <v>111</v>
      </c>
    </row>
    <row r="38" spans="1:60" x14ac:dyDescent="0.25">
      <c r="A38" s="36" t="s">
        <v>66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 t="s">
        <v>66</v>
      </c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</row>
    <row r="39" spans="1:60" x14ac:dyDescent="0.25">
      <c r="A39" s="37" t="s">
        <v>112</v>
      </c>
      <c r="AE39" s="37" t="s">
        <v>112</v>
      </c>
    </row>
    <row r="40" spans="1:60" x14ac:dyDescent="0.25">
      <c r="A40" s="36" t="s">
        <v>113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 t="s">
        <v>113</v>
      </c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</row>
    <row r="41" spans="1:60" x14ac:dyDescent="0.25">
      <c r="A41" s="37" t="s">
        <v>64</v>
      </c>
      <c r="AE41" s="37" t="s">
        <v>64</v>
      </c>
    </row>
    <row r="42" spans="1:60" x14ac:dyDescent="0.25">
      <c r="A42" s="36" t="s">
        <v>114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 t="s">
        <v>114</v>
      </c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</row>
    <row r="43" spans="1:60" x14ac:dyDescent="0.25">
      <c r="A43" s="37" t="s">
        <v>83</v>
      </c>
      <c r="AE43" s="37" t="s">
        <v>83</v>
      </c>
    </row>
    <row r="44" spans="1:60" x14ac:dyDescent="0.25">
      <c r="A44" s="36" t="s">
        <v>74</v>
      </c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 t="s">
        <v>74</v>
      </c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</row>
    <row r="45" spans="1:60" x14ac:dyDescent="0.25">
      <c r="A45" s="37" t="s">
        <v>115</v>
      </c>
      <c r="AE45" s="37" t="s">
        <v>115</v>
      </c>
    </row>
    <row r="46" spans="1:60" x14ac:dyDescent="0.25">
      <c r="A46" s="36" t="s">
        <v>116</v>
      </c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 t="s">
        <v>116</v>
      </c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</row>
    <row r="47" spans="1:60" x14ac:dyDescent="0.25">
      <c r="A47" s="37" t="s">
        <v>77</v>
      </c>
      <c r="AE47" s="37" t="s">
        <v>77</v>
      </c>
    </row>
    <row r="48" spans="1:60" x14ac:dyDescent="0.25">
      <c r="A48" s="36" t="s">
        <v>80</v>
      </c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 t="s">
        <v>80</v>
      </c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</row>
    <row r="49" spans="1:60" x14ac:dyDescent="0.25">
      <c r="A49" s="37" t="s">
        <v>67</v>
      </c>
      <c r="AE49" s="37" t="s">
        <v>67</v>
      </c>
    </row>
    <row r="50" spans="1:60" x14ac:dyDescent="0.25">
      <c r="A50" s="36" t="s">
        <v>58</v>
      </c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 t="s">
        <v>58</v>
      </c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</row>
    <row r="51" spans="1:60" x14ac:dyDescent="0.25">
      <c r="A51" s="37" t="s">
        <v>59</v>
      </c>
      <c r="AE51" s="37" t="s">
        <v>59</v>
      </c>
    </row>
    <row r="52" spans="1:60" x14ac:dyDescent="0.25">
      <c r="A52" s="36" t="s">
        <v>117</v>
      </c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 t="s">
        <v>117</v>
      </c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</row>
    <row r="53" spans="1:60" x14ac:dyDescent="0.25">
      <c r="A53" s="37" t="s">
        <v>84</v>
      </c>
      <c r="AE53" s="37" t="s">
        <v>84</v>
      </c>
    </row>
    <row r="54" spans="1:60" x14ac:dyDescent="0.25">
      <c r="A54" s="36" t="s">
        <v>76</v>
      </c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 t="s">
        <v>76</v>
      </c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</row>
    <row r="55" spans="1:60" x14ac:dyDescent="0.25">
      <c r="A55" s="37" t="s">
        <v>78</v>
      </c>
      <c r="AE55" s="37" t="s">
        <v>78</v>
      </c>
    </row>
    <row r="56" spans="1:60" x14ac:dyDescent="0.25">
      <c r="A56" s="36" t="s">
        <v>118</v>
      </c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 t="s">
        <v>118</v>
      </c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</row>
    <row r="57" spans="1:60" x14ac:dyDescent="0.25">
      <c r="A57" s="37" t="s">
        <v>68</v>
      </c>
      <c r="AE57" s="37" t="s">
        <v>68</v>
      </c>
    </row>
    <row r="58" spans="1:60" x14ac:dyDescent="0.25">
      <c r="A58" s="36" t="s">
        <v>119</v>
      </c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 t="s">
        <v>119</v>
      </c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</row>
    <row r="59" spans="1:60" x14ac:dyDescent="0.25">
      <c r="A59" s="37" t="s">
        <v>120</v>
      </c>
      <c r="AE59" s="37" t="s">
        <v>120</v>
      </c>
    </row>
    <row r="60" spans="1:60" x14ac:dyDescent="0.25">
      <c r="A60" s="36" t="s">
        <v>86</v>
      </c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 t="s">
        <v>86</v>
      </c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</row>
    <row r="61" spans="1:60" x14ac:dyDescent="0.25">
      <c r="A61" s="37" t="s">
        <v>121</v>
      </c>
      <c r="AE61" s="37" t="s">
        <v>121</v>
      </c>
    </row>
    <row r="62" spans="1:60" x14ac:dyDescent="0.25">
      <c r="A62" s="36" t="s">
        <v>73</v>
      </c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 t="s">
        <v>73</v>
      </c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</row>
    <row r="63" spans="1:60" x14ac:dyDescent="0.25">
      <c r="A63" s="37" t="s">
        <v>61</v>
      </c>
      <c r="AE63" s="37" t="s">
        <v>61</v>
      </c>
    </row>
    <row r="64" spans="1:60" x14ac:dyDescent="0.25">
      <c r="A64" s="36" t="s">
        <v>70</v>
      </c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 t="s">
        <v>70</v>
      </c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</row>
    <row r="65" spans="1:60" x14ac:dyDescent="0.25">
      <c r="A65" s="37" t="s">
        <v>65</v>
      </c>
      <c r="AE65" s="37" t="s">
        <v>65</v>
      </c>
    </row>
    <row r="66" spans="1:60" x14ac:dyDescent="0.25">
      <c r="A66" s="36" t="s">
        <v>122</v>
      </c>
      <c r="B66" s="36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 t="s">
        <v>122</v>
      </c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</row>
    <row r="68" spans="1:60" x14ac:dyDescent="0.25">
      <c r="A68" s="36"/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</row>
  </sheetData>
  <pageMargins left="0.7" right="0.7" top="0.75" bottom="0.75" header="0.3" footer="0.3"/>
  <pageSetup scale="66" fitToWidth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56C8-7DF2-4590-9007-7F2463511511}">
  <sheetPr codeName="Sheet5"/>
  <dimension ref="A1:I40"/>
  <sheetViews>
    <sheetView workbookViewId="0">
      <selection activeCell="B10" sqref="B10"/>
    </sheetView>
  </sheetViews>
  <sheetFormatPr defaultRowHeight="15" x14ac:dyDescent="0.25"/>
  <cols>
    <col min="1" max="1" width="19.7109375" bestFit="1" customWidth="1"/>
    <col min="2" max="2" width="11.85546875" bestFit="1" customWidth="1"/>
    <col min="3" max="3" width="15.42578125" bestFit="1" customWidth="1"/>
    <col min="4" max="4" width="24.85546875" bestFit="1" customWidth="1"/>
    <col min="5" max="5" width="14.42578125" bestFit="1" customWidth="1"/>
    <col min="6" max="6" width="15.5703125" bestFit="1" customWidth="1"/>
  </cols>
  <sheetData>
    <row r="1" spans="1:9" x14ac:dyDescent="0.25">
      <c r="B1" s="47" t="s">
        <v>157</v>
      </c>
      <c r="C1" s="47" t="s">
        <v>156</v>
      </c>
      <c r="D1" s="48" t="s">
        <v>161</v>
      </c>
    </row>
    <row r="2" spans="1:9" x14ac:dyDescent="0.25">
      <c r="A2" s="44" t="s">
        <v>159</v>
      </c>
      <c r="B2" s="6">
        <v>43967</v>
      </c>
      <c r="C2" s="40">
        <f ca="1">DATEDIF(B2,TODAY(),"D")</f>
        <v>728</v>
      </c>
      <c r="D2" s="40">
        <f ca="1">C2/30</f>
        <v>24.266666666666666</v>
      </c>
    </row>
    <row r="3" spans="1:9" x14ac:dyDescent="0.25">
      <c r="A3" s="41" t="s">
        <v>158</v>
      </c>
      <c r="B3" s="58">
        <v>43967</v>
      </c>
      <c r="C3" s="39">
        <f ca="1">DATEDIF(B3,TODAY(),"D")</f>
        <v>728</v>
      </c>
      <c r="D3" s="39">
        <f ca="1">C3/30</f>
        <v>24.266666666666666</v>
      </c>
    </row>
    <row r="6" spans="1:9" x14ac:dyDescent="0.25">
      <c r="A6" s="49" t="s">
        <v>164</v>
      </c>
      <c r="B6" s="49" t="s">
        <v>91</v>
      </c>
      <c r="C6" s="49" t="s">
        <v>89</v>
      </c>
      <c r="D6" s="49" t="s">
        <v>160</v>
      </c>
      <c r="H6" s="54"/>
      <c r="I6" s="54"/>
    </row>
    <row r="7" spans="1:9" x14ac:dyDescent="0.25">
      <c r="A7" t="s">
        <v>325</v>
      </c>
      <c r="B7" s="27" t="e">
        <f>SUMIF(#REF!,LossSummary[[#This Row],[Loss Summary]],#REF!)</f>
        <v>#REF!</v>
      </c>
      <c r="C7" s="26" t="e">
        <f>COUNTIF(#REF!,A7)</f>
        <v>#REF!</v>
      </c>
      <c r="D7" s="28" t="e">
        <f ca="1">LossSummary[[#This Row],[Total Loss]]/LossSummary[[#This Row],[Total Drivers]]/$D$3</f>
        <v>#REF!</v>
      </c>
      <c r="H7" s="54"/>
      <c r="I7" s="55"/>
    </row>
    <row r="8" spans="1:9" x14ac:dyDescent="0.25">
      <c r="A8" t="s">
        <v>327</v>
      </c>
      <c r="B8" s="52" t="e">
        <f>SUMIF(#REF!,LossSummary[[#This Row],[Loss Summary]],#REF!)</f>
        <v>#REF!</v>
      </c>
      <c r="C8" s="26" t="e">
        <f>COUNTIF(#REF!,A8)</f>
        <v>#REF!</v>
      </c>
      <c r="D8" s="28" t="e">
        <f ca="1">LossSummary[[#This Row],[Total Loss]]/LossSummary[[#This Row],[Total Drivers]]/$D$3</f>
        <v>#REF!</v>
      </c>
      <c r="H8" s="54"/>
      <c r="I8" s="55"/>
    </row>
    <row r="9" spans="1:9" x14ac:dyDescent="0.25">
      <c r="A9" t="s">
        <v>326</v>
      </c>
      <c r="B9" s="52" t="e">
        <f>SUMIF(#REF!,LossSummary[[#This Row],[Loss Summary]],#REF!)</f>
        <v>#REF!</v>
      </c>
      <c r="C9" s="26" t="e">
        <f>COUNTIF(#REF!,A9)</f>
        <v>#REF!</v>
      </c>
      <c r="D9" s="28" t="e">
        <f ca="1">LossSummary[[#This Row],[Total Loss]]/LossSummary[[#This Row],[Total Drivers]]/$D$3</f>
        <v>#REF!</v>
      </c>
      <c r="H9" s="54"/>
      <c r="I9" s="55"/>
    </row>
    <row r="10" spans="1:9" x14ac:dyDescent="0.25">
      <c r="A10" t="s">
        <v>328</v>
      </c>
      <c r="B10" s="52" t="e">
        <f>SUMIF(Losses[CSA Name],LossSummary[[#This Row],[Loss Summary]],#REF!)</f>
        <v>#REF!</v>
      </c>
      <c r="C10" s="26" t="e">
        <f>COUNTIF(#REF!,A10)</f>
        <v>#REF!</v>
      </c>
      <c r="D10" s="28" t="e">
        <f ca="1">LossSummary[[#This Row],[Total Loss]]/LossSummary[[#This Row],[Total Drivers]]/$D$3</f>
        <v>#REF!</v>
      </c>
      <c r="H10" s="54"/>
      <c r="I10" s="55"/>
    </row>
    <row r="11" spans="1:9" x14ac:dyDescent="0.25">
      <c r="A11" t="s">
        <v>331</v>
      </c>
      <c r="B11" s="52" t="e">
        <f>SUMIF(#REF!,LossSummary[[#This Row],[Loss Summary]],#REF!)</f>
        <v>#REF!</v>
      </c>
      <c r="C11" s="26" t="e">
        <f>COUNTIF(#REF!,A11)</f>
        <v>#REF!</v>
      </c>
      <c r="D11" s="28" t="e">
        <f ca="1">LossSummary[[#This Row],[Total Loss]]/LossSummary[[#This Row],[Total Drivers]]/$D$3</f>
        <v>#REF!</v>
      </c>
      <c r="H11" s="54"/>
      <c r="I11" s="55"/>
    </row>
    <row r="12" spans="1:9" x14ac:dyDescent="0.25">
      <c r="A12" t="s">
        <v>324</v>
      </c>
      <c r="B12" s="27" t="e">
        <f>SUMIF(#REF!,LossSummary[[#This Row],[Loss Summary]],#REF!)</f>
        <v>#REF!</v>
      </c>
      <c r="C12" s="26" t="e">
        <f>COUNTIF(#REF!,A12)</f>
        <v>#REF!</v>
      </c>
      <c r="D12" s="28" t="e">
        <f ca="1">LossSummary[[#This Row],[Total Loss]]/LossSummary[[#This Row],[Total Drivers]]/$D$3</f>
        <v>#REF!</v>
      </c>
      <c r="H12" s="54"/>
      <c r="I12" s="56"/>
    </row>
    <row r="13" spans="1:9" x14ac:dyDescent="0.25">
      <c r="A13" t="s">
        <v>323</v>
      </c>
      <c r="B13" s="27" t="e">
        <f>SUMIF(#REF!,LossSummary[[#This Row],[Loss Summary]],#REF!)</f>
        <v>#REF!</v>
      </c>
      <c r="C13" s="26" t="e">
        <f>COUNTIF(#REF!,A13)</f>
        <v>#REF!</v>
      </c>
      <c r="D13" s="28" t="e">
        <f ca="1">LossSummary[[#This Row],[Total Loss]]/LossSummary[[#This Row],[Total Drivers]]/$D$3</f>
        <v>#REF!</v>
      </c>
      <c r="H13" s="54"/>
      <c r="I13" s="55"/>
    </row>
    <row r="14" spans="1:9" x14ac:dyDescent="0.25">
      <c r="A14" t="s">
        <v>329</v>
      </c>
      <c r="B14" s="27" t="e">
        <f>SUMIF(#REF!,LossSummary[[#This Row],[Loss Summary]],#REF!)</f>
        <v>#REF!</v>
      </c>
      <c r="C14" s="26" t="e">
        <f>COUNTIF(#REF!,A14)</f>
        <v>#REF!</v>
      </c>
      <c r="D14" s="28" t="e">
        <f ca="1">LossSummary[[#This Row],[Total Loss]]/LossSummary[[#This Row],[Total Drivers]]/$D$3</f>
        <v>#REF!</v>
      </c>
      <c r="H14" s="54"/>
      <c r="I14" s="55"/>
    </row>
    <row r="15" spans="1:9" x14ac:dyDescent="0.25">
      <c r="A15" t="s">
        <v>330</v>
      </c>
      <c r="B15" s="27" t="e">
        <f>SUMIF(#REF!,LossSummary[[#This Row],[Loss Summary]],#REF!)</f>
        <v>#REF!</v>
      </c>
      <c r="C15" s="26" t="e">
        <f>COUNTIF(#REF!,A15)</f>
        <v>#REF!</v>
      </c>
      <c r="D15" s="28" t="e">
        <f ca="1">LossSummary[[#This Row],[Total Loss]]/LossSummary[[#This Row],[Total Drivers]]/$D$3</f>
        <v>#REF!</v>
      </c>
      <c r="H15" s="54"/>
      <c r="I15" s="55"/>
    </row>
    <row r="16" spans="1:9" x14ac:dyDescent="0.25">
      <c r="A16" s="41" t="s">
        <v>163</v>
      </c>
      <c r="B16" s="42" t="e">
        <f>SUM(LossSummary[Total Loss])</f>
        <v>#REF!</v>
      </c>
      <c r="C16" s="42" t="e">
        <f>SUM(LossSummary[Total Drivers])</f>
        <v>#REF!</v>
      </c>
      <c r="D16" s="43" t="e">
        <f ca="1">B16/C16/$D$3</f>
        <v>#REF!</v>
      </c>
      <c r="H16" s="54"/>
      <c r="I16" s="54"/>
    </row>
    <row r="17" spans="1:6" x14ac:dyDescent="0.25">
      <c r="D17" s="24"/>
      <c r="E17" s="24"/>
      <c r="F17" s="24"/>
    </row>
    <row r="18" spans="1:6" x14ac:dyDescent="0.25">
      <c r="A18" s="49" t="s">
        <v>165</v>
      </c>
      <c r="B18" s="49" t="s">
        <v>92</v>
      </c>
      <c r="C18" s="49" t="s">
        <v>89</v>
      </c>
      <c r="D18" s="49" t="s">
        <v>162</v>
      </c>
    </row>
    <row r="19" spans="1:6" x14ac:dyDescent="0.25">
      <c r="A19" t="s">
        <v>325</v>
      </c>
      <c r="B19" s="50" t="e">
        <f>SUMIF(#REF!,DamageSummary[[#This Row],[Damage Summary]],#REF!)</f>
        <v>#REF!</v>
      </c>
      <c r="C19" s="50" t="e">
        <f>COUNTIF(#REF!,A19)</f>
        <v>#REF!</v>
      </c>
      <c r="D19" s="51" t="e">
        <f ca="1">DamageSummary[[#This Row],[Total Damage]]/DamageSummary[[#This Row],[Total Drivers]]/$D$2</f>
        <v>#REF!</v>
      </c>
    </row>
    <row r="20" spans="1:6" x14ac:dyDescent="0.25">
      <c r="A20" t="s">
        <v>327</v>
      </c>
      <c r="B20" s="53" t="e">
        <f>SUMIF(#REF!,DamageSummary[[#This Row],[Damage Summary]],#REF!)</f>
        <v>#REF!</v>
      </c>
      <c r="C20" s="50" t="e">
        <f>COUNTIF(#REF!,A20)</f>
        <v>#REF!</v>
      </c>
      <c r="D20" s="51" t="e">
        <f ca="1">DamageSummary[[#This Row],[Total Damage]]/DamageSummary[[#This Row],[Total Drivers]]/$D$2</f>
        <v>#REF!</v>
      </c>
    </row>
    <row r="21" spans="1:6" x14ac:dyDescent="0.25">
      <c r="A21" t="s">
        <v>326</v>
      </c>
      <c r="B21" s="53" t="e">
        <f>SUMIF(#REF!,DamageSummary[[#This Row],[Damage Summary]],#REF!)</f>
        <v>#REF!</v>
      </c>
      <c r="C21" s="50" t="e">
        <f>COUNTIF(#REF!,A21)</f>
        <v>#REF!</v>
      </c>
      <c r="D21" s="51" t="e">
        <f ca="1">DamageSummary[[#This Row],[Total Damage]]/DamageSummary[[#This Row],[Total Drivers]]/$D$2</f>
        <v>#REF!</v>
      </c>
    </row>
    <row r="22" spans="1:6" x14ac:dyDescent="0.25">
      <c r="A22" t="s">
        <v>328</v>
      </c>
      <c r="B22" s="53" t="e">
        <f>SUMIF(#REF!,DamageSummary[[#This Row],[Damage Summary]],#REF!)</f>
        <v>#REF!</v>
      </c>
      <c r="C22" s="50" t="e">
        <f>COUNTIF(#REF!,A22)</f>
        <v>#REF!</v>
      </c>
      <c r="D22" s="51" t="e">
        <f ca="1">DamageSummary[[#This Row],[Total Damage]]/DamageSummary[[#This Row],[Total Drivers]]/$D$2</f>
        <v>#REF!</v>
      </c>
    </row>
    <row r="23" spans="1:6" x14ac:dyDescent="0.25">
      <c r="A23" t="s">
        <v>331</v>
      </c>
      <c r="B23" s="53" t="e">
        <f>SUMIF(#REF!,DamageSummary[[#This Row],[Damage Summary]],#REF!)</f>
        <v>#REF!</v>
      </c>
      <c r="C23" s="50" t="e">
        <f>COUNTIF(#REF!,A23)</f>
        <v>#REF!</v>
      </c>
      <c r="D23" s="51" t="e">
        <f ca="1">DamageSummary[[#This Row],[Total Damage]]/DamageSummary[[#This Row],[Total Drivers]]/$D$2</f>
        <v>#REF!</v>
      </c>
    </row>
    <row r="24" spans="1:6" x14ac:dyDescent="0.25">
      <c r="A24" t="s">
        <v>324</v>
      </c>
      <c r="B24" s="50" t="e">
        <f>SUMIF(#REF!,DamageSummary[[#This Row],[Damage Summary]],#REF!)</f>
        <v>#REF!</v>
      </c>
      <c r="C24" s="50" t="e">
        <f>COUNTIF(#REF!,A24)</f>
        <v>#REF!</v>
      </c>
      <c r="D24" s="51" t="e">
        <f ca="1">DamageSummary[[#This Row],[Total Damage]]/DamageSummary[[#This Row],[Total Drivers]]/$D$2</f>
        <v>#REF!</v>
      </c>
    </row>
    <row r="25" spans="1:6" x14ac:dyDescent="0.25">
      <c r="A25" t="s">
        <v>323</v>
      </c>
      <c r="B25" s="50" t="e">
        <f>SUMIF(#REF!,DamageSummary[[#This Row],[Damage Summary]],#REF!)</f>
        <v>#REF!</v>
      </c>
      <c r="C25" s="50" t="e">
        <f>COUNTIF(#REF!,A25)</f>
        <v>#REF!</v>
      </c>
      <c r="D25" s="51" t="e">
        <f ca="1">DamageSummary[[#This Row],[Total Damage]]/DamageSummary[[#This Row],[Total Drivers]]/$D$2</f>
        <v>#REF!</v>
      </c>
    </row>
    <row r="26" spans="1:6" x14ac:dyDescent="0.25">
      <c r="A26" t="s">
        <v>329</v>
      </c>
      <c r="B26" s="50" t="e">
        <f>SUMIF(#REF!,DamageSummary[[#This Row],[Damage Summary]],#REF!)</f>
        <v>#REF!</v>
      </c>
      <c r="C26" s="50" t="e">
        <f>COUNTIF(#REF!,A26)</f>
        <v>#REF!</v>
      </c>
      <c r="D26" s="51" t="e">
        <f ca="1">DamageSummary[[#This Row],[Total Damage]]/DamageSummary[[#This Row],[Total Drivers]]/$D$2</f>
        <v>#REF!</v>
      </c>
    </row>
    <row r="27" spans="1:6" x14ac:dyDescent="0.25">
      <c r="A27" t="s">
        <v>330</v>
      </c>
      <c r="B27" s="50" t="e">
        <f>SUMIF(#REF!,DamageSummary[[#This Row],[Damage Summary]],#REF!)</f>
        <v>#REF!</v>
      </c>
      <c r="C27" s="50" t="e">
        <f>COUNTIF(#REF!,A27)</f>
        <v>#REF!</v>
      </c>
      <c r="D27" s="51" t="e">
        <f ca="1">DamageSummary[[#This Row],[Total Damage]]/DamageSummary[[#This Row],[Total Drivers]]/$D$2</f>
        <v>#REF!</v>
      </c>
    </row>
    <row r="28" spans="1:6" x14ac:dyDescent="0.25">
      <c r="A28" s="44" t="s">
        <v>163</v>
      </c>
      <c r="B28" s="45" t="e">
        <f>SUM(DamageSummary[Total Damage])</f>
        <v>#REF!</v>
      </c>
      <c r="C28" s="45" t="e">
        <f>SUM(DamageSummary[Total Drivers])</f>
        <v>#REF!</v>
      </c>
      <c r="D28" s="46" t="e">
        <f ca="1">B28/C28/$D$2</f>
        <v>#REF!</v>
      </c>
    </row>
    <row r="30" spans="1:6" x14ac:dyDescent="0.25">
      <c r="A30" s="29" t="s">
        <v>166</v>
      </c>
      <c r="B30" s="29" t="s">
        <v>88</v>
      </c>
      <c r="C30" s="29" t="s">
        <v>89</v>
      </c>
      <c r="D30" s="29" t="s">
        <v>167</v>
      </c>
    </row>
    <row r="31" spans="1:6" x14ac:dyDescent="0.25">
      <c r="A31" t="s">
        <v>325</v>
      </c>
      <c r="B31" s="27" t="e">
        <f>SUMIF(#REF!,ClaimSummary[[#This Row],[All Claims]],#REF!)</f>
        <v>#REF!</v>
      </c>
      <c r="C31" s="26" t="e">
        <f>COUNTIF(#REF!,A31)</f>
        <v>#REF!</v>
      </c>
      <c r="D31" s="28" t="e">
        <f ca="1">VLOOKUP(ClaimSummary[[#This Row],[All Claims]],LossSummary[],4,0)+VLOOKUP(ClaimSummary[[#This Row],[All Claims]],DamageSummary[],4,0)</f>
        <v>#REF!</v>
      </c>
    </row>
    <row r="32" spans="1:6" x14ac:dyDescent="0.25">
      <c r="A32" t="s">
        <v>327</v>
      </c>
      <c r="B32" s="52" t="e">
        <f>SUMIF(#REF!,ClaimSummary[[#This Row],[All Claims]],#REF!)</f>
        <v>#REF!</v>
      </c>
      <c r="C32" s="26" t="e">
        <f>COUNTIF(#REF!,A32)</f>
        <v>#REF!</v>
      </c>
      <c r="D32" s="28" t="e">
        <f ca="1">VLOOKUP(ClaimSummary[[#This Row],[All Claims]],LossSummary[],4,0)+VLOOKUP(ClaimSummary[[#This Row],[All Claims]],DamageSummary[],4,0)</f>
        <v>#REF!</v>
      </c>
    </row>
    <row r="33" spans="1:4" x14ac:dyDescent="0.25">
      <c r="A33" t="s">
        <v>326</v>
      </c>
      <c r="B33" s="52" t="e">
        <f>SUMIF(#REF!,ClaimSummary[[#This Row],[All Claims]],#REF!)</f>
        <v>#REF!</v>
      </c>
      <c r="C33" s="26" t="e">
        <f>COUNTIF(#REF!,A33)</f>
        <v>#REF!</v>
      </c>
      <c r="D33" s="28" t="e">
        <f ca="1">VLOOKUP(ClaimSummary[[#This Row],[All Claims]],LossSummary[],4,0)+VLOOKUP(ClaimSummary[[#This Row],[All Claims]],DamageSummary[],4,0)</f>
        <v>#REF!</v>
      </c>
    </row>
    <row r="34" spans="1:4" x14ac:dyDescent="0.25">
      <c r="A34" t="s">
        <v>328</v>
      </c>
      <c r="B34" s="52" t="e">
        <f>SUMIF(#REF!,ClaimSummary[[#This Row],[All Claims]],#REF!)</f>
        <v>#REF!</v>
      </c>
      <c r="C34" s="26" t="e">
        <f>COUNTIF(#REF!,A34)</f>
        <v>#REF!</v>
      </c>
      <c r="D34" s="28" t="e">
        <f ca="1">VLOOKUP(ClaimSummary[[#This Row],[All Claims]],LossSummary[],4,0)+VLOOKUP(ClaimSummary[[#This Row],[All Claims]],DamageSummary[],4,0)</f>
        <v>#REF!</v>
      </c>
    </row>
    <row r="35" spans="1:4" x14ac:dyDescent="0.25">
      <c r="A35" t="s">
        <v>331</v>
      </c>
      <c r="B35" s="52" t="e">
        <f>SUMIF(#REF!,ClaimSummary[[#This Row],[All Claims]],#REF!)</f>
        <v>#REF!</v>
      </c>
      <c r="C35" s="26" t="e">
        <f>COUNTIF(#REF!,A35)</f>
        <v>#REF!</v>
      </c>
      <c r="D35" s="28" t="e">
        <f ca="1">VLOOKUP(ClaimSummary[[#This Row],[All Claims]],LossSummary[],4,0)+VLOOKUP(ClaimSummary[[#This Row],[All Claims]],DamageSummary[],4,0)</f>
        <v>#REF!</v>
      </c>
    </row>
    <row r="36" spans="1:4" x14ac:dyDescent="0.25">
      <c r="A36" t="s">
        <v>324</v>
      </c>
      <c r="B36" s="27" t="e">
        <f>SUMIF(#REF!,ClaimSummary[[#This Row],[All Claims]],#REF!)</f>
        <v>#REF!</v>
      </c>
      <c r="C36" s="26" t="e">
        <f>COUNTIF(#REF!,A36)</f>
        <v>#REF!</v>
      </c>
      <c r="D36" s="28" t="e">
        <f ca="1">VLOOKUP(ClaimSummary[[#This Row],[All Claims]],LossSummary[],4,0)+VLOOKUP(ClaimSummary[[#This Row],[All Claims]],DamageSummary[],4,0)</f>
        <v>#REF!</v>
      </c>
    </row>
    <row r="37" spans="1:4" x14ac:dyDescent="0.25">
      <c r="A37" t="s">
        <v>323</v>
      </c>
      <c r="B37" s="27" t="e">
        <f>SUMIF(#REF!,ClaimSummary[[#This Row],[All Claims]],#REF!)</f>
        <v>#REF!</v>
      </c>
      <c r="C37" s="26" t="e">
        <f>COUNTIF(#REF!,A37)</f>
        <v>#REF!</v>
      </c>
      <c r="D37" s="28" t="e">
        <f ca="1">VLOOKUP(ClaimSummary[[#This Row],[All Claims]],LossSummary[],4,0)+VLOOKUP(ClaimSummary[[#This Row],[All Claims]],DamageSummary[],4,0)</f>
        <v>#REF!</v>
      </c>
    </row>
    <row r="38" spans="1:4" x14ac:dyDescent="0.25">
      <c r="A38" t="s">
        <v>329</v>
      </c>
      <c r="B38" s="27" t="e">
        <f>SUMIF(#REF!,ClaimSummary[[#This Row],[All Claims]],#REF!)</f>
        <v>#REF!</v>
      </c>
      <c r="C38" s="26" t="e">
        <f>COUNTIF(#REF!,A38)</f>
        <v>#REF!</v>
      </c>
      <c r="D38" s="28" t="e">
        <f ca="1">VLOOKUP(ClaimSummary[[#This Row],[All Claims]],LossSummary[],4,0)+VLOOKUP(ClaimSummary[[#This Row],[All Claims]],DamageSummary[],4,0)</f>
        <v>#REF!</v>
      </c>
    </row>
    <row r="39" spans="1:4" x14ac:dyDescent="0.25">
      <c r="A39" t="s">
        <v>330</v>
      </c>
      <c r="B39" s="27" t="e">
        <f>SUMIF(#REF!,ClaimSummary[[#This Row],[All Claims]],#REF!)</f>
        <v>#REF!</v>
      </c>
      <c r="C39" s="26" t="e">
        <f>COUNTIF(#REF!,A39)</f>
        <v>#REF!</v>
      </c>
      <c r="D39" s="28" t="e">
        <f ca="1">VLOOKUP(ClaimSummary[[#This Row],[All Claims]],LossSummary[],4,0)+VLOOKUP(ClaimSummary[[#This Row],[All Claims]],DamageSummary[],4,0)</f>
        <v>#REF!</v>
      </c>
    </row>
    <row r="40" spans="1:4" x14ac:dyDescent="0.25">
      <c r="A40" s="31" t="s">
        <v>163</v>
      </c>
      <c r="B40" s="32" t="e">
        <f>SUM(ClaimSummary[Total Claims])</f>
        <v>#REF!</v>
      </c>
      <c r="C40" s="32" t="e">
        <f>SUM(ClaimSummary[Total Drivers])</f>
        <v>#REF!</v>
      </c>
      <c r="D40" s="30" t="e">
        <f>B40/C40</f>
        <v>#REF!</v>
      </c>
    </row>
  </sheetData>
  <phoneticPr fontId="10" type="noConversion"/>
  <conditionalFormatting sqref="D7:D15">
    <cfRule type="colorScale" priority="3">
      <colorScale>
        <cfvo type="min"/>
        <cfvo type="max"/>
        <color rgb="FFFCFCFF"/>
        <color rgb="FFF8696B"/>
      </colorScale>
    </cfRule>
  </conditionalFormatting>
  <conditionalFormatting sqref="D19:D27">
    <cfRule type="colorScale" priority="2">
      <colorScale>
        <cfvo type="min"/>
        <cfvo type="max"/>
        <color rgb="FFFCFCFF"/>
        <color rgb="FFF8696B"/>
      </colorScale>
    </cfRule>
  </conditionalFormatting>
  <conditionalFormatting sqref="D31:D39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97E7E-429F-4065-BB6F-6F044D6F92C8}">
  <sheetPr codeName="Sheet3"/>
  <dimension ref="A1:B13"/>
  <sheetViews>
    <sheetView workbookViewId="0">
      <selection activeCell="G7" sqref="G7"/>
    </sheetView>
  </sheetViews>
  <sheetFormatPr defaultRowHeight="15" x14ac:dyDescent="0.25"/>
  <cols>
    <col min="1" max="1" width="8.140625" bestFit="1" customWidth="1"/>
    <col min="2" max="2" width="15.28515625" bestFit="1" customWidth="1"/>
  </cols>
  <sheetData>
    <row r="1" spans="1:2" x14ac:dyDescent="0.25">
      <c r="A1" s="59" t="s">
        <v>210</v>
      </c>
      <c r="B1" s="59" t="s">
        <v>211</v>
      </c>
    </row>
    <row r="2" spans="1:2" x14ac:dyDescent="0.25">
      <c r="A2">
        <v>903856</v>
      </c>
      <c r="B2" s="25" t="s">
        <v>213</v>
      </c>
    </row>
    <row r="3" spans="1:2" x14ac:dyDescent="0.25">
      <c r="A3">
        <v>823856</v>
      </c>
      <c r="B3" s="25" t="s">
        <v>212</v>
      </c>
    </row>
    <row r="4" spans="1:2" x14ac:dyDescent="0.25">
      <c r="A4">
        <v>304993</v>
      </c>
      <c r="B4" t="s">
        <v>323</v>
      </c>
    </row>
    <row r="5" spans="1:2" x14ac:dyDescent="0.25">
      <c r="A5">
        <v>304919</v>
      </c>
      <c r="B5" t="s">
        <v>324</v>
      </c>
    </row>
    <row r="6" spans="1:2" x14ac:dyDescent="0.25">
      <c r="A6">
        <v>304892</v>
      </c>
      <c r="B6" t="s">
        <v>325</v>
      </c>
    </row>
    <row r="7" spans="1:2" x14ac:dyDescent="0.25">
      <c r="A7">
        <v>304891</v>
      </c>
      <c r="B7" t="s">
        <v>326</v>
      </c>
    </row>
    <row r="8" spans="1:2" x14ac:dyDescent="0.25">
      <c r="A8">
        <v>304890</v>
      </c>
      <c r="B8" t="s">
        <v>327</v>
      </c>
    </row>
    <row r="9" spans="1:2" x14ac:dyDescent="0.25">
      <c r="A9">
        <v>304889</v>
      </c>
      <c r="B9" t="s">
        <v>328</v>
      </c>
    </row>
    <row r="10" spans="1:2" x14ac:dyDescent="0.25">
      <c r="A10">
        <v>304888</v>
      </c>
      <c r="B10" t="s">
        <v>329</v>
      </c>
    </row>
    <row r="11" spans="1:2" x14ac:dyDescent="0.25">
      <c r="A11">
        <v>304887</v>
      </c>
      <c r="B11" t="s">
        <v>330</v>
      </c>
    </row>
    <row r="12" spans="1:2" x14ac:dyDescent="0.25">
      <c r="A12">
        <v>304886</v>
      </c>
      <c r="B12" t="s">
        <v>331</v>
      </c>
    </row>
    <row r="13" spans="1:2" x14ac:dyDescent="0.25">
      <c r="A13">
        <v>129220</v>
      </c>
      <c r="B13" t="s">
        <v>332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85358-5FCB-480F-9694-5326DB1A355A}">
  <sheetPr codeName="Sheet2"/>
  <dimension ref="A1:XEN22"/>
  <sheetViews>
    <sheetView zoomScaleNormal="100" workbookViewId="0">
      <pane ySplit="1" topLeftCell="A2" activePane="bottomLeft" state="frozen"/>
      <selection pane="bottomLeft" activeCell="K11" sqref="K11"/>
    </sheetView>
  </sheetViews>
  <sheetFormatPr defaultRowHeight="15" customHeight="1" x14ac:dyDescent="0.25"/>
  <cols>
    <col min="1" max="1" width="24.42578125" bestFit="1" customWidth="1"/>
    <col min="2" max="2" width="10" customWidth="1"/>
    <col min="3" max="3" width="1.28515625" customWidth="1"/>
    <col min="4" max="4" width="10.5703125" style="1" bestFit="1" customWidth="1"/>
    <col min="5" max="10" width="1.28515625" customWidth="1"/>
    <col min="11" max="11" width="16.140625" style="2" bestFit="1" customWidth="1"/>
    <col min="12" max="14" width="1.28515625" customWidth="1"/>
    <col min="15" max="15" width="1.28515625" style="1" customWidth="1"/>
    <col min="16" max="33" width="1.28515625" customWidth="1"/>
    <col min="34" max="34" width="1.28515625" style="3" customWidth="1"/>
  </cols>
  <sheetData>
    <row r="1" spans="1:34 16368:16368" s="11" customFormat="1" ht="34.5" customHeight="1" x14ac:dyDescent="0.25">
      <c r="A1" s="16" t="s">
        <v>211</v>
      </c>
      <c r="B1" s="16" t="s">
        <v>210</v>
      </c>
      <c r="C1" s="17" t="s">
        <v>14</v>
      </c>
      <c r="D1" s="18" t="s">
        <v>15</v>
      </c>
      <c r="E1" s="17" t="s">
        <v>3</v>
      </c>
      <c r="F1" s="17" t="s">
        <v>4</v>
      </c>
      <c r="G1" s="17" t="s">
        <v>16</v>
      </c>
      <c r="H1" s="17" t="s">
        <v>17</v>
      </c>
      <c r="I1" s="17" t="s">
        <v>18</v>
      </c>
      <c r="J1" s="17" t="s">
        <v>19</v>
      </c>
      <c r="K1" s="19" t="s">
        <v>1</v>
      </c>
      <c r="L1" s="20" t="s">
        <v>20</v>
      </c>
      <c r="M1" s="17" t="s">
        <v>0</v>
      </c>
      <c r="N1" s="17" t="s">
        <v>21</v>
      </c>
      <c r="O1" s="20" t="s">
        <v>52</v>
      </c>
      <c r="P1" s="21" t="s">
        <v>22</v>
      </c>
      <c r="Q1" s="17" t="s">
        <v>23</v>
      </c>
      <c r="R1" s="17" t="s">
        <v>24</v>
      </c>
      <c r="S1" s="17" t="s">
        <v>25</v>
      </c>
      <c r="T1" s="17" t="s">
        <v>26</v>
      </c>
      <c r="U1" s="17" t="s">
        <v>27</v>
      </c>
      <c r="V1" s="17" t="s">
        <v>28</v>
      </c>
      <c r="W1" s="17" t="s">
        <v>29</v>
      </c>
      <c r="X1" s="17" t="s">
        <v>30</v>
      </c>
      <c r="Y1" s="17" t="s">
        <v>31</v>
      </c>
      <c r="Z1" s="17" t="s">
        <v>32</v>
      </c>
      <c r="AA1" s="17" t="s">
        <v>33</v>
      </c>
      <c r="AB1" s="17" t="s">
        <v>34</v>
      </c>
      <c r="AC1" s="17" t="s">
        <v>35</v>
      </c>
      <c r="AD1" s="17" t="s">
        <v>36</v>
      </c>
      <c r="AE1" s="17" t="s">
        <v>37</v>
      </c>
      <c r="AF1" s="17" t="s">
        <v>38</v>
      </c>
      <c r="AG1" s="17" t="s">
        <v>39</v>
      </c>
      <c r="AH1" s="22" t="s">
        <v>40</v>
      </c>
    </row>
    <row r="2" spans="1:34 16368:16368" ht="15" customHeight="1" x14ac:dyDescent="0.25">
      <c r="A2" t="e">
        <f>VLOOKUP(B2,Table1[],2,FALSE)</f>
        <v>#N/A</v>
      </c>
      <c r="B2">
        <v>304983</v>
      </c>
      <c r="C2" t="s">
        <v>180</v>
      </c>
      <c r="D2" s="23">
        <v>43995</v>
      </c>
      <c r="E2" t="s">
        <v>11</v>
      </c>
      <c r="F2" t="s">
        <v>168</v>
      </c>
      <c r="G2" t="s">
        <v>41</v>
      </c>
      <c r="H2" t="s">
        <v>42</v>
      </c>
      <c r="I2" t="s">
        <v>43</v>
      </c>
      <c r="J2" t="s">
        <v>47</v>
      </c>
      <c r="K2" s="60" t="s">
        <v>316</v>
      </c>
      <c r="L2" s="9">
        <v>43985</v>
      </c>
      <c r="M2" t="s">
        <v>203</v>
      </c>
      <c r="N2" s="1"/>
      <c r="O2" s="9">
        <v>43985</v>
      </c>
      <c r="P2" s="10">
        <v>141.56</v>
      </c>
      <c r="Q2">
        <v>44.1</v>
      </c>
      <c r="R2" t="s">
        <v>181</v>
      </c>
      <c r="S2" t="s">
        <v>204</v>
      </c>
      <c r="T2" t="s">
        <v>205</v>
      </c>
      <c r="V2" t="s">
        <v>170</v>
      </c>
      <c r="W2">
        <v>84057</v>
      </c>
      <c r="X2" t="s">
        <v>44</v>
      </c>
      <c r="Y2" t="s">
        <v>12</v>
      </c>
      <c r="AA2">
        <v>304983</v>
      </c>
      <c r="AE2" t="s">
        <v>12</v>
      </c>
    </row>
    <row r="3" spans="1:34 16368:16368" ht="15" customHeight="1" x14ac:dyDescent="0.25">
      <c r="A3" t="s">
        <v>335</v>
      </c>
      <c r="B3">
        <v>304882</v>
      </c>
      <c r="C3" t="s">
        <v>180</v>
      </c>
      <c r="D3" s="23">
        <v>43995</v>
      </c>
      <c r="E3" t="s">
        <v>11</v>
      </c>
      <c r="F3" t="s">
        <v>168</v>
      </c>
      <c r="G3" t="s">
        <v>41</v>
      </c>
      <c r="H3" t="s">
        <v>42</v>
      </c>
      <c r="I3" t="s">
        <v>43</v>
      </c>
      <c r="J3" t="s">
        <v>47</v>
      </c>
      <c r="K3" s="60" t="s">
        <v>317</v>
      </c>
      <c r="L3" s="9">
        <v>43983</v>
      </c>
      <c r="M3" t="s">
        <v>206</v>
      </c>
      <c r="N3" s="1"/>
      <c r="O3" s="9">
        <v>43983</v>
      </c>
      <c r="P3" s="10">
        <v>97.9</v>
      </c>
      <c r="Q3">
        <v>4</v>
      </c>
      <c r="R3" t="s">
        <v>50</v>
      </c>
      <c r="S3" t="s">
        <v>207</v>
      </c>
      <c r="T3" t="s">
        <v>208</v>
      </c>
      <c r="V3" t="s">
        <v>174</v>
      </c>
      <c r="W3">
        <v>84045</v>
      </c>
      <c r="X3" t="s">
        <v>44</v>
      </c>
      <c r="Y3" t="s">
        <v>12</v>
      </c>
      <c r="AA3">
        <v>304882</v>
      </c>
      <c r="AB3" t="s">
        <v>49</v>
      </c>
      <c r="AE3" t="s">
        <v>12</v>
      </c>
      <c r="XEN3" t="s">
        <v>333</v>
      </c>
    </row>
    <row r="4" spans="1:34 16368:16368" ht="15" customHeight="1" x14ac:dyDescent="0.25">
      <c r="A4" t="e">
        <f>VLOOKUP(B4,Table1[],2,FALSE)</f>
        <v>#N/A</v>
      </c>
      <c r="B4">
        <v>304983</v>
      </c>
      <c r="C4" t="s">
        <v>180</v>
      </c>
      <c r="D4" s="23">
        <v>44002</v>
      </c>
      <c r="E4" t="s">
        <v>11</v>
      </c>
      <c r="F4" t="s">
        <v>168</v>
      </c>
      <c r="G4" t="s">
        <v>41</v>
      </c>
      <c r="H4" t="s">
        <v>42</v>
      </c>
      <c r="I4" t="s">
        <v>43</v>
      </c>
      <c r="J4" t="s">
        <v>47</v>
      </c>
      <c r="K4" s="60" t="s">
        <v>318</v>
      </c>
      <c r="L4" s="9">
        <v>43978</v>
      </c>
      <c r="M4" t="s">
        <v>186</v>
      </c>
      <c r="N4" s="1" t="s">
        <v>179</v>
      </c>
      <c r="O4" s="9">
        <v>43978</v>
      </c>
      <c r="P4" s="10">
        <v>269</v>
      </c>
      <c r="Q4">
        <v>31</v>
      </c>
      <c r="R4" t="s">
        <v>13</v>
      </c>
      <c r="S4" t="s">
        <v>187</v>
      </c>
      <c r="T4" t="s">
        <v>188</v>
      </c>
      <c r="V4" t="s">
        <v>170</v>
      </c>
      <c r="W4">
        <v>84059</v>
      </c>
      <c r="X4" t="s">
        <v>44</v>
      </c>
      <c r="Y4" t="s">
        <v>45</v>
      </c>
      <c r="AA4">
        <v>304983</v>
      </c>
      <c r="AB4" t="s">
        <v>49</v>
      </c>
      <c r="AE4" t="s">
        <v>12</v>
      </c>
    </row>
    <row r="5" spans="1:34 16368:16368" ht="15" customHeight="1" x14ac:dyDescent="0.25">
      <c r="A5" t="e">
        <f>VLOOKUP(B5,Table1[],2,FALSE)</f>
        <v>#N/A</v>
      </c>
      <c r="B5">
        <v>304879</v>
      </c>
      <c r="C5" t="s">
        <v>180</v>
      </c>
      <c r="D5" s="23">
        <v>44002</v>
      </c>
      <c r="E5" t="s">
        <v>11</v>
      </c>
      <c r="F5" t="s">
        <v>168</v>
      </c>
      <c r="G5" t="s">
        <v>41</v>
      </c>
      <c r="H5" t="s">
        <v>42</v>
      </c>
      <c r="I5" t="s">
        <v>43</v>
      </c>
      <c r="J5" t="s">
        <v>47</v>
      </c>
      <c r="K5" s="60" t="s">
        <v>319</v>
      </c>
      <c r="L5" s="9">
        <v>43984</v>
      </c>
      <c r="M5" t="s">
        <v>189</v>
      </c>
      <c r="N5" s="1"/>
      <c r="O5" s="9">
        <v>43984</v>
      </c>
      <c r="P5" s="10">
        <v>200</v>
      </c>
      <c r="Q5">
        <v>16.399999999999999</v>
      </c>
      <c r="R5" t="s">
        <v>48</v>
      </c>
      <c r="S5" t="s">
        <v>190</v>
      </c>
      <c r="T5" t="s">
        <v>191</v>
      </c>
      <c r="V5" t="s">
        <v>192</v>
      </c>
      <c r="W5">
        <v>7201</v>
      </c>
      <c r="X5" t="s">
        <v>12</v>
      </c>
      <c r="Y5" t="s">
        <v>12</v>
      </c>
      <c r="AA5">
        <v>304879</v>
      </c>
      <c r="AE5" t="s">
        <v>12</v>
      </c>
    </row>
    <row r="6" spans="1:34 16368:16368" ht="15" customHeight="1" x14ac:dyDescent="0.25">
      <c r="A6" t="e">
        <f>VLOOKUP(B6,Table1[],2,FALSE)</f>
        <v>#N/A</v>
      </c>
      <c r="B6">
        <v>304877</v>
      </c>
      <c r="C6" t="s">
        <v>180</v>
      </c>
      <c r="D6" s="23">
        <v>44002</v>
      </c>
      <c r="E6" t="s">
        <v>11</v>
      </c>
      <c r="F6" t="s">
        <v>168</v>
      </c>
      <c r="G6" t="s">
        <v>184</v>
      </c>
      <c r="H6" t="s">
        <v>185</v>
      </c>
      <c r="I6" t="s">
        <v>43</v>
      </c>
      <c r="J6" t="s">
        <v>172</v>
      </c>
      <c r="K6" s="60" t="s">
        <v>320</v>
      </c>
      <c r="L6" s="9">
        <v>43978</v>
      </c>
      <c r="M6" t="s">
        <v>193</v>
      </c>
      <c r="N6" s="1" t="s">
        <v>194</v>
      </c>
      <c r="O6" s="9">
        <v>43978</v>
      </c>
      <c r="P6" s="10">
        <v>1056</v>
      </c>
      <c r="Q6">
        <v>24</v>
      </c>
      <c r="R6" t="s">
        <v>181</v>
      </c>
      <c r="S6" t="s">
        <v>195</v>
      </c>
      <c r="T6" t="s">
        <v>196</v>
      </c>
      <c r="V6" t="s">
        <v>169</v>
      </c>
      <c r="W6">
        <v>84606</v>
      </c>
      <c r="X6" t="s">
        <v>12</v>
      </c>
      <c r="Y6" t="s">
        <v>12</v>
      </c>
      <c r="AA6">
        <v>304877</v>
      </c>
      <c r="AE6" t="s">
        <v>12</v>
      </c>
      <c r="AF6" s="57">
        <v>43992</v>
      </c>
      <c r="AG6" t="s">
        <v>173</v>
      </c>
      <c r="AH6" s="3" t="s">
        <v>175</v>
      </c>
    </row>
    <row r="7" spans="1:34 16368:16368" ht="15" customHeight="1" x14ac:dyDescent="0.25">
      <c r="A7" t="e">
        <f>VLOOKUP(B7,Table1[],2,FALSE)</f>
        <v>#N/A</v>
      </c>
      <c r="B7">
        <v>304876</v>
      </c>
      <c r="C7" t="s">
        <v>180</v>
      </c>
      <c r="D7" s="23">
        <v>44002</v>
      </c>
      <c r="E7" t="s">
        <v>11</v>
      </c>
      <c r="F7" t="s">
        <v>168</v>
      </c>
      <c r="G7" t="s">
        <v>184</v>
      </c>
      <c r="H7" t="s">
        <v>185</v>
      </c>
      <c r="I7" t="s">
        <v>43</v>
      </c>
      <c r="J7" t="s">
        <v>176</v>
      </c>
      <c r="K7" s="60" t="s">
        <v>321</v>
      </c>
      <c r="L7" s="9">
        <v>43986</v>
      </c>
      <c r="M7" t="s">
        <v>197</v>
      </c>
      <c r="N7" s="1" t="s">
        <v>198</v>
      </c>
      <c r="O7" s="9">
        <v>43986</v>
      </c>
      <c r="P7" s="10">
        <v>63.76</v>
      </c>
      <c r="Q7">
        <v>18</v>
      </c>
      <c r="R7" t="s">
        <v>90</v>
      </c>
      <c r="S7" t="s">
        <v>199</v>
      </c>
      <c r="T7" t="s">
        <v>200</v>
      </c>
      <c r="U7" t="s">
        <v>201</v>
      </c>
      <c r="V7" t="s">
        <v>202</v>
      </c>
      <c r="W7">
        <v>60605</v>
      </c>
      <c r="X7" t="s">
        <v>44</v>
      </c>
      <c r="Y7" t="s">
        <v>44</v>
      </c>
      <c r="AA7">
        <v>304876</v>
      </c>
      <c r="AE7" t="s">
        <v>12</v>
      </c>
      <c r="AF7" s="57">
        <v>43992</v>
      </c>
      <c r="AG7" t="s">
        <v>173</v>
      </c>
      <c r="AH7" s="3" t="s">
        <v>175</v>
      </c>
    </row>
    <row r="8" spans="1:34 16368:16368" ht="15" customHeight="1" x14ac:dyDescent="0.25">
      <c r="A8" t="e">
        <f>VLOOKUP(B8,Table1[],2,FALSE)</f>
        <v>#N/A</v>
      </c>
      <c r="B8">
        <v>304879</v>
      </c>
      <c r="C8" t="s">
        <v>180</v>
      </c>
      <c r="D8" s="23">
        <v>44009</v>
      </c>
      <c r="E8" t="s">
        <v>11</v>
      </c>
      <c r="F8" t="s">
        <v>168</v>
      </c>
      <c r="G8" t="s">
        <v>41</v>
      </c>
      <c r="H8" t="s">
        <v>42</v>
      </c>
      <c r="I8" t="s">
        <v>43</v>
      </c>
      <c r="J8" t="s">
        <v>47</v>
      </c>
      <c r="K8" s="60" t="s">
        <v>322</v>
      </c>
      <c r="L8" s="9">
        <v>43991</v>
      </c>
      <c r="M8" t="s">
        <v>177</v>
      </c>
      <c r="N8" s="1" t="s">
        <v>178</v>
      </c>
      <c r="O8" s="9">
        <v>43991</v>
      </c>
      <c r="P8" s="10">
        <v>174.99</v>
      </c>
      <c r="Q8">
        <v>6</v>
      </c>
      <c r="R8" t="s">
        <v>13</v>
      </c>
      <c r="S8" t="s">
        <v>182</v>
      </c>
      <c r="T8" t="s">
        <v>183</v>
      </c>
      <c r="V8" t="s">
        <v>171</v>
      </c>
      <c r="W8">
        <v>84042</v>
      </c>
      <c r="X8" t="s">
        <v>12</v>
      </c>
      <c r="Y8" t="s">
        <v>12</v>
      </c>
      <c r="AA8">
        <v>304879</v>
      </c>
      <c r="AB8" t="s">
        <v>51</v>
      </c>
      <c r="AE8" t="s">
        <v>12</v>
      </c>
    </row>
    <row r="13" spans="1:34 16368:16368" ht="15" customHeight="1" x14ac:dyDescent="0.25">
      <c r="K13" s="2" t="s">
        <v>214</v>
      </c>
    </row>
    <row r="22" spans="1:1" ht="15" customHeight="1" x14ac:dyDescent="0.25">
      <c r="A22" t="s">
        <v>334</v>
      </c>
    </row>
  </sheetData>
  <conditionalFormatting sqref="K2:K1048576">
    <cfRule type="duplicateValues" dxfId="2" priority="24"/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ssCSANums">
                <anchor moveWithCells="1" sizeWithCells="1">
                  <from>
                    <xdr:col>0</xdr:col>
                    <xdr:colOff>1171575</xdr:colOff>
                    <xdr:row>0</xdr:row>
                    <xdr:rowOff>28575</xdr:rowOff>
                  </from>
                  <to>
                    <xdr:col>2</xdr:col>
                    <xdr:colOff>57150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B0E57-F389-4E16-A341-1B785D957B4C}">
  <sheetPr codeName="Sheet1"/>
  <dimension ref="A1:K102"/>
  <sheetViews>
    <sheetView tabSelected="1" zoomScaleNormal="100" workbookViewId="0">
      <pane ySplit="1" topLeftCell="A14" activePane="bottomLeft" state="frozen"/>
      <selection pane="bottomLeft" activeCell="B27" sqref="B27"/>
    </sheetView>
  </sheetViews>
  <sheetFormatPr defaultRowHeight="15" x14ac:dyDescent="0.25"/>
  <cols>
    <col min="1" max="1" width="19.140625" style="5" bestFit="1" customWidth="1"/>
    <col min="2" max="2" width="10.140625" style="5" bestFit="1" customWidth="1"/>
    <col min="3" max="3" width="16.140625" style="4" bestFit="1" customWidth="1"/>
    <col min="4" max="7" width="1.7109375" style="5" customWidth="1"/>
    <col min="8" max="8" width="9.5703125" style="5" bestFit="1" customWidth="1"/>
    <col min="9" max="9" width="10.7109375" style="5" bestFit="1" customWidth="1"/>
    <col min="10" max="10" width="1.7109375" style="8" customWidth="1"/>
    <col min="11" max="11" width="10.42578125" style="8" customWidth="1"/>
    <col min="12" max="16384" width="9.140625" style="5"/>
  </cols>
  <sheetData>
    <row r="1" spans="1:11" s="12" customFormat="1" ht="43.5" customHeight="1" x14ac:dyDescent="0.25">
      <c r="A1" s="12" t="s">
        <v>211</v>
      </c>
      <c r="B1" s="12" t="s">
        <v>210</v>
      </c>
      <c r="C1" s="14" t="s">
        <v>1</v>
      </c>
      <c r="D1" s="13" t="s">
        <v>2</v>
      </c>
      <c r="E1" s="13" t="s">
        <v>3</v>
      </c>
      <c r="F1" s="13" t="s">
        <v>4</v>
      </c>
      <c r="G1" s="13" t="s">
        <v>5</v>
      </c>
      <c r="H1" s="12" t="s">
        <v>6</v>
      </c>
      <c r="I1" s="12" t="s">
        <v>7</v>
      </c>
      <c r="J1" s="15" t="s">
        <v>8</v>
      </c>
      <c r="K1" s="15" t="s">
        <v>9</v>
      </c>
    </row>
    <row r="2" spans="1:11" x14ac:dyDescent="0.25">
      <c r="A2" s="7" t="str">
        <f>IFERROR(IF(ISBLANK(B2),"No Delivery Data",VLOOKUP(B2,Table1[],2,FALSE)), "Not delivered at ZPRV")</f>
        <v>Not delivered at ZPRV</v>
      </c>
      <c r="B2" s="5">
        <v>0</v>
      </c>
      <c r="C2" s="4" t="s">
        <v>215</v>
      </c>
      <c r="D2" s="5" t="s">
        <v>10</v>
      </c>
      <c r="E2" s="5" t="s">
        <v>11</v>
      </c>
      <c r="F2" s="5" t="s">
        <v>209</v>
      </c>
      <c r="G2" s="7">
        <v>846</v>
      </c>
      <c r="H2" s="4">
        <v>468</v>
      </c>
      <c r="I2" s="4">
        <v>3846</v>
      </c>
      <c r="J2" s="8">
        <v>43949</v>
      </c>
      <c r="K2" s="6">
        <v>43981</v>
      </c>
    </row>
    <row r="3" spans="1:11" x14ac:dyDescent="0.25">
      <c r="A3" s="7" t="str">
        <f>IFERROR(IF(ISBLANK(B3),"No Delivery Data",VLOOKUP(B3,Table1[],2,FALSE)), "Not delivered at ZPRV")</f>
        <v>Not delivered at ZPRV</v>
      </c>
      <c r="B3" s="5">
        <v>0</v>
      </c>
      <c r="C3" s="4" t="s">
        <v>216</v>
      </c>
      <c r="D3" s="5" t="s">
        <v>10</v>
      </c>
      <c r="E3" s="5" t="s">
        <v>11</v>
      </c>
      <c r="F3" s="5" t="s">
        <v>209</v>
      </c>
      <c r="G3" s="7">
        <v>846</v>
      </c>
      <c r="H3" s="4">
        <v>301</v>
      </c>
      <c r="I3" s="4">
        <v>3846</v>
      </c>
      <c r="J3" s="8">
        <v>43962</v>
      </c>
      <c r="K3" s="6">
        <v>43981</v>
      </c>
    </row>
    <row r="4" spans="1:11" x14ac:dyDescent="0.25">
      <c r="A4" s="7" t="str">
        <f>IFERROR(IF(ISBLANK(B4),"No Delivery Data",VLOOKUP(B4,Table1[],2,FALSE)), "Not delivered at ZPRV")</f>
        <v>Not delivered at ZPRV</v>
      </c>
      <c r="B4" s="5">
        <v>0</v>
      </c>
      <c r="C4" s="4" t="s">
        <v>217</v>
      </c>
      <c r="D4" s="5" t="s">
        <v>10</v>
      </c>
      <c r="E4" s="5" t="s">
        <v>11</v>
      </c>
      <c r="F4" s="5" t="s">
        <v>209</v>
      </c>
      <c r="G4" s="7">
        <v>846</v>
      </c>
      <c r="H4" s="4">
        <v>846</v>
      </c>
      <c r="I4" s="4">
        <v>846</v>
      </c>
      <c r="J4" s="8">
        <v>43949</v>
      </c>
      <c r="K4" s="6">
        <v>43981</v>
      </c>
    </row>
    <row r="5" spans="1:11" x14ac:dyDescent="0.25">
      <c r="A5" s="7" t="str">
        <f>IFERROR(IF(ISBLANK(B5),"No Delivery Data",VLOOKUP(B5,Table1[],2,FALSE)), "Not delivered at ZPRV")</f>
        <v>Not delivered at ZPRV</v>
      </c>
      <c r="B5" s="5">
        <v>0</v>
      </c>
      <c r="C5" s="4" t="s">
        <v>218</v>
      </c>
      <c r="D5" s="5" t="s">
        <v>10</v>
      </c>
      <c r="E5" s="5" t="s">
        <v>11</v>
      </c>
      <c r="F5" s="5" t="s">
        <v>209</v>
      </c>
      <c r="G5" s="7">
        <v>846</v>
      </c>
      <c r="H5" s="4">
        <v>762</v>
      </c>
      <c r="I5" s="4">
        <v>3846</v>
      </c>
      <c r="J5" s="8">
        <v>43959</v>
      </c>
      <c r="K5" s="6">
        <v>43980</v>
      </c>
    </row>
    <row r="6" spans="1:11" x14ac:dyDescent="0.25">
      <c r="A6" s="7" t="str">
        <f>IFERROR(IF(ISBLANK(B6),"No Delivery Data",VLOOKUP(B6,Table1[],2,FALSE)), "Not delivered at ZPRV")</f>
        <v>Not delivered at ZPRV</v>
      </c>
      <c r="B6" s="5">
        <v>0</v>
      </c>
      <c r="C6" s="4" t="s">
        <v>219</v>
      </c>
      <c r="D6" s="5" t="s">
        <v>10</v>
      </c>
      <c r="E6" s="5" t="s">
        <v>11</v>
      </c>
      <c r="F6" s="5" t="s">
        <v>209</v>
      </c>
      <c r="G6" s="7">
        <v>846</v>
      </c>
      <c r="H6" s="4">
        <v>846</v>
      </c>
      <c r="I6" s="4">
        <v>3071</v>
      </c>
      <c r="J6" s="8">
        <v>43951</v>
      </c>
      <c r="K6" s="6">
        <v>43980</v>
      </c>
    </row>
    <row r="7" spans="1:11" x14ac:dyDescent="0.25">
      <c r="A7" s="7" t="str">
        <f>IFERROR(IF(ISBLANK(B7),"No Delivery Data",VLOOKUP(B7,Table1[],2,FALSE)), "Not delivered at ZPRV")</f>
        <v>Not delivered at ZPRV</v>
      </c>
      <c r="B7" s="5">
        <v>0</v>
      </c>
      <c r="C7" s="4" t="s">
        <v>220</v>
      </c>
      <c r="D7" s="5" t="s">
        <v>10</v>
      </c>
      <c r="E7" s="5" t="s">
        <v>11</v>
      </c>
      <c r="F7" s="5" t="s">
        <v>209</v>
      </c>
      <c r="G7" s="7">
        <v>846</v>
      </c>
      <c r="H7" s="4">
        <v>300</v>
      </c>
      <c r="I7" s="4">
        <v>846</v>
      </c>
      <c r="J7" s="8">
        <v>43955</v>
      </c>
      <c r="K7" s="6">
        <v>43980</v>
      </c>
    </row>
    <row r="8" spans="1:11" x14ac:dyDescent="0.25">
      <c r="A8" s="7" t="str">
        <f>IFERROR(IF(ISBLANK(B8),"No Delivery Data",VLOOKUP(B8,Table1[],2,FALSE)), "Not delivered at ZPRV")</f>
        <v>Not delivered at ZPRV</v>
      </c>
      <c r="B8" s="5">
        <v>0</v>
      </c>
      <c r="C8" s="4" t="s">
        <v>221</v>
      </c>
      <c r="D8" s="5" t="s">
        <v>10</v>
      </c>
      <c r="E8" s="5" t="s">
        <v>11</v>
      </c>
      <c r="F8" s="5" t="s">
        <v>209</v>
      </c>
      <c r="G8" s="7">
        <v>846</v>
      </c>
      <c r="H8" s="4">
        <v>379</v>
      </c>
      <c r="I8" s="4">
        <v>3846</v>
      </c>
      <c r="J8" s="8">
        <v>43957</v>
      </c>
      <c r="K8" s="6">
        <v>43980</v>
      </c>
    </row>
    <row r="9" spans="1:11" x14ac:dyDescent="0.25">
      <c r="A9" s="7" t="str">
        <f>IFERROR(IF(ISBLANK(B9),"No Delivery Data",VLOOKUP(B9,Table1[],2,FALSE)), "Not delivered at ZPRV")</f>
        <v>Not delivered at ZPRV</v>
      </c>
      <c r="B9" s="5">
        <v>0</v>
      </c>
      <c r="C9" s="4" t="s">
        <v>222</v>
      </c>
      <c r="D9" s="5" t="s">
        <v>10</v>
      </c>
      <c r="E9" s="5" t="s">
        <v>11</v>
      </c>
      <c r="F9" s="5" t="s">
        <v>209</v>
      </c>
      <c r="G9" s="7">
        <v>846</v>
      </c>
      <c r="H9" s="4">
        <v>85</v>
      </c>
      <c r="I9" s="4">
        <v>846</v>
      </c>
      <c r="J9" s="8">
        <v>43959</v>
      </c>
      <c r="K9" s="6">
        <v>43979</v>
      </c>
    </row>
    <row r="10" spans="1:11" x14ac:dyDescent="0.25">
      <c r="A10" s="7" t="str">
        <f>IFERROR(IF(ISBLANK(B10),"No Delivery Data",VLOOKUP(B10,Table1[],2,FALSE)), "Not delivered at ZPRV")</f>
        <v>Not delivered at ZPRV</v>
      </c>
      <c r="B10" s="5">
        <v>0</v>
      </c>
      <c r="C10" s="4" t="s">
        <v>223</v>
      </c>
      <c r="D10" s="5" t="s">
        <v>10</v>
      </c>
      <c r="E10" s="5" t="s">
        <v>11</v>
      </c>
      <c r="F10" s="5" t="s">
        <v>209</v>
      </c>
      <c r="G10" s="7">
        <v>846</v>
      </c>
      <c r="H10" s="4">
        <v>631</v>
      </c>
      <c r="I10" s="4">
        <v>846</v>
      </c>
      <c r="J10" s="8">
        <v>43959</v>
      </c>
      <c r="K10" s="6">
        <v>43979</v>
      </c>
    </row>
    <row r="11" spans="1:11" x14ac:dyDescent="0.25">
      <c r="A11" s="7" t="str">
        <f>IFERROR(IF(ISBLANK(B11),"No Delivery Data",VLOOKUP(B11,Table1[],2,FALSE)), "Not delivered at ZPRV")</f>
        <v>Not delivered at ZPRV</v>
      </c>
      <c r="B11" s="5">
        <v>0</v>
      </c>
      <c r="C11" s="4" t="s">
        <v>224</v>
      </c>
      <c r="D11" s="5" t="s">
        <v>10</v>
      </c>
      <c r="E11" s="5" t="s">
        <v>11</v>
      </c>
      <c r="F11" s="5" t="s">
        <v>209</v>
      </c>
      <c r="G11" s="7">
        <v>846</v>
      </c>
      <c r="H11" s="4">
        <v>846</v>
      </c>
      <c r="I11" s="4">
        <v>3236</v>
      </c>
      <c r="J11" s="8">
        <v>43948</v>
      </c>
      <c r="K11" s="6">
        <v>43979</v>
      </c>
    </row>
    <row r="12" spans="1:11" x14ac:dyDescent="0.25">
      <c r="A12" s="7" t="str">
        <f>IFERROR(IF(ISBLANK(B12),"No Delivery Data",VLOOKUP(B12,Table1[],2,FALSE)), "Not delivered at ZPRV")</f>
        <v>Not delivered at ZPRV</v>
      </c>
      <c r="B12" s="5">
        <v>0</v>
      </c>
      <c r="C12" s="4" t="s">
        <v>225</v>
      </c>
      <c r="D12" s="5" t="s">
        <v>10</v>
      </c>
      <c r="E12" s="5" t="s">
        <v>11</v>
      </c>
      <c r="F12" s="5" t="s">
        <v>209</v>
      </c>
      <c r="G12" s="7">
        <v>846</v>
      </c>
      <c r="H12" s="4">
        <v>928</v>
      </c>
      <c r="I12" s="4">
        <v>3846</v>
      </c>
      <c r="J12" s="8">
        <v>43962</v>
      </c>
      <c r="K12" s="6">
        <v>43978</v>
      </c>
    </row>
    <row r="13" spans="1:11" x14ac:dyDescent="0.25">
      <c r="A13" s="7" t="str">
        <f>IFERROR(IF(ISBLANK(B13),"No Delivery Data",VLOOKUP(B13,Table1[],2,FALSE)), "Not delivered at ZPRV")</f>
        <v>Not delivered at ZPRV</v>
      </c>
      <c r="B13" s="5">
        <v>0</v>
      </c>
      <c r="C13" s="4" t="s">
        <v>226</v>
      </c>
      <c r="D13" s="5" t="s">
        <v>10</v>
      </c>
      <c r="E13" s="5" t="s">
        <v>11</v>
      </c>
      <c r="F13" s="5" t="s">
        <v>209</v>
      </c>
      <c r="G13" s="7">
        <v>846</v>
      </c>
      <c r="H13" s="4">
        <v>300</v>
      </c>
      <c r="I13" s="4">
        <v>846</v>
      </c>
      <c r="J13" s="8">
        <v>43928</v>
      </c>
      <c r="K13" s="6">
        <v>43978</v>
      </c>
    </row>
    <row r="14" spans="1:11" x14ac:dyDescent="0.25">
      <c r="A14" s="7" t="str">
        <f>IFERROR(IF(ISBLANK(B14),"No Delivery Data",VLOOKUP(B14,Table1[],2,FALSE)), "Not delivered at ZPRV")</f>
        <v>Not delivered at ZPRV</v>
      </c>
      <c r="B14" s="5">
        <v>0</v>
      </c>
      <c r="C14" s="4" t="s">
        <v>227</v>
      </c>
      <c r="D14" s="5" t="s">
        <v>10</v>
      </c>
      <c r="E14" s="5" t="s">
        <v>11</v>
      </c>
      <c r="F14" s="5" t="s">
        <v>209</v>
      </c>
      <c r="G14" s="7">
        <v>846</v>
      </c>
      <c r="H14" s="4">
        <v>846</v>
      </c>
      <c r="I14" s="4">
        <v>918</v>
      </c>
      <c r="J14" s="8">
        <v>43962</v>
      </c>
      <c r="K14" s="6">
        <v>43978</v>
      </c>
    </row>
    <row r="15" spans="1:11" x14ac:dyDescent="0.25">
      <c r="A15" s="7" t="str">
        <f>IFERROR(IF(ISBLANK(B15),"No Delivery Data",VLOOKUP(B15,Table1[],2,FALSE)), "Not delivered at ZPRV")</f>
        <v>Not delivered at ZPRV</v>
      </c>
      <c r="B15" s="5">
        <v>0</v>
      </c>
      <c r="C15" s="4" t="s">
        <v>228</v>
      </c>
      <c r="D15" s="5" t="s">
        <v>10</v>
      </c>
      <c r="E15" s="5" t="s">
        <v>11</v>
      </c>
      <c r="F15" s="5" t="s">
        <v>209</v>
      </c>
      <c r="G15" s="7">
        <v>846</v>
      </c>
      <c r="H15" s="4">
        <v>846</v>
      </c>
      <c r="I15" s="4">
        <v>3306</v>
      </c>
      <c r="J15" s="8">
        <v>43952</v>
      </c>
      <c r="K15" s="6">
        <v>43978</v>
      </c>
    </row>
    <row r="16" spans="1:11" x14ac:dyDescent="0.25">
      <c r="A16" s="7" t="str">
        <f>IFERROR(IF(ISBLANK(B16),"No Delivery Data",VLOOKUP(B16,Table1[],2,FALSE)), "Not delivered at ZPRV")</f>
        <v>Not delivered at ZPRV</v>
      </c>
      <c r="B16" s="5">
        <v>0</v>
      </c>
      <c r="C16" s="4" t="s">
        <v>229</v>
      </c>
      <c r="D16" s="5" t="s">
        <v>10</v>
      </c>
      <c r="E16" s="5" t="s">
        <v>11</v>
      </c>
      <c r="F16" s="5" t="s">
        <v>209</v>
      </c>
      <c r="G16" s="7">
        <v>846</v>
      </c>
      <c r="H16" s="4">
        <v>846</v>
      </c>
      <c r="I16" s="4">
        <v>3306</v>
      </c>
      <c r="J16" s="8">
        <v>43952</v>
      </c>
      <c r="K16" s="6">
        <v>43978</v>
      </c>
    </row>
    <row r="17" spans="1:11" x14ac:dyDescent="0.25">
      <c r="A17" s="7" t="str">
        <f>IFERROR(IF(ISBLANK(B17),"No Delivery Data",VLOOKUP(B17,Table1[],2,FALSE)), "Not delivered at ZPRV")</f>
        <v>Not delivered at ZPRV</v>
      </c>
      <c r="B17" s="5">
        <v>0</v>
      </c>
      <c r="C17" s="4" t="s">
        <v>230</v>
      </c>
      <c r="D17" s="5" t="s">
        <v>10</v>
      </c>
      <c r="E17" s="5" t="s">
        <v>11</v>
      </c>
      <c r="F17" s="5" t="s">
        <v>209</v>
      </c>
      <c r="G17" s="7">
        <v>846</v>
      </c>
      <c r="H17" s="4">
        <v>441</v>
      </c>
      <c r="I17" s="4">
        <v>846</v>
      </c>
      <c r="J17" s="8">
        <v>43965</v>
      </c>
      <c r="K17" s="6">
        <v>43978</v>
      </c>
    </row>
    <row r="18" spans="1:11" x14ac:dyDescent="0.25">
      <c r="A18" s="7" t="str">
        <f>IFERROR(IF(ISBLANK(B18),"No Delivery Data",VLOOKUP(B18,Table1[],2,FALSE)), "Not delivered at ZPRV")</f>
        <v>Not delivered at ZPRV</v>
      </c>
      <c r="B18" s="5">
        <v>0</v>
      </c>
      <c r="C18" s="4" t="s">
        <v>231</v>
      </c>
      <c r="D18" s="5" t="s">
        <v>10</v>
      </c>
      <c r="E18" s="5" t="s">
        <v>11</v>
      </c>
      <c r="F18" s="5" t="s">
        <v>209</v>
      </c>
      <c r="G18" s="7">
        <v>846</v>
      </c>
      <c r="H18" s="4">
        <v>910</v>
      </c>
      <c r="I18" s="4">
        <v>3846</v>
      </c>
      <c r="J18" s="8">
        <v>43970</v>
      </c>
      <c r="K18" s="6">
        <v>43978</v>
      </c>
    </row>
    <row r="19" spans="1:11" x14ac:dyDescent="0.25">
      <c r="A19" s="7" t="str">
        <f>IFERROR(IF(ISBLANK(B19),"No Delivery Data",VLOOKUP(B19,Table1[],2,FALSE)), "Not delivered at ZPRV")</f>
        <v>Not delivered at ZPRV</v>
      </c>
      <c r="B19" s="5">
        <v>0</v>
      </c>
      <c r="C19" s="4" t="s">
        <v>232</v>
      </c>
      <c r="D19" s="5" t="s">
        <v>10</v>
      </c>
      <c r="E19" s="5" t="s">
        <v>11</v>
      </c>
      <c r="F19" s="5" t="s">
        <v>209</v>
      </c>
      <c r="G19" s="7">
        <v>846</v>
      </c>
      <c r="H19" s="4">
        <v>846</v>
      </c>
      <c r="I19" s="4">
        <v>885</v>
      </c>
      <c r="J19" s="8">
        <v>43969</v>
      </c>
      <c r="K19" s="6">
        <v>43978</v>
      </c>
    </row>
    <row r="20" spans="1:11" x14ac:dyDescent="0.25">
      <c r="A20" s="7" t="str">
        <f>IFERROR(IF(ISBLANK(B20),"No Delivery Data",VLOOKUP(B20,Table1[],2,FALSE)), "Not delivered at ZPRV")</f>
        <v>Not delivered at ZPRV</v>
      </c>
      <c r="B20" s="5">
        <v>0</v>
      </c>
      <c r="C20" s="4" t="s">
        <v>233</v>
      </c>
      <c r="D20" s="5" t="s">
        <v>10</v>
      </c>
      <c r="E20" s="5" t="s">
        <v>11</v>
      </c>
      <c r="F20" s="5" t="s">
        <v>209</v>
      </c>
      <c r="G20" s="7">
        <v>846</v>
      </c>
      <c r="H20" s="4">
        <v>761</v>
      </c>
      <c r="I20" s="4">
        <v>3846</v>
      </c>
      <c r="J20" s="8">
        <v>43963</v>
      </c>
      <c r="K20" s="6">
        <v>43977</v>
      </c>
    </row>
    <row r="21" spans="1:11" x14ac:dyDescent="0.25">
      <c r="A21" s="7" t="str">
        <f>IFERROR(IF(ISBLANK(B21),"No Delivery Data",VLOOKUP(B21,Table1[],2,FALSE)), "Not delivered at ZPRV")</f>
        <v>Not delivered at ZPRV</v>
      </c>
      <c r="B21" s="5">
        <v>0</v>
      </c>
      <c r="C21" s="4" t="s">
        <v>234</v>
      </c>
      <c r="D21" s="5" t="s">
        <v>10</v>
      </c>
      <c r="E21" s="5" t="s">
        <v>11</v>
      </c>
      <c r="F21" s="5" t="s">
        <v>209</v>
      </c>
      <c r="G21" s="7">
        <v>846</v>
      </c>
      <c r="H21" s="4">
        <v>846</v>
      </c>
      <c r="I21" s="4">
        <v>3483</v>
      </c>
      <c r="J21" s="8">
        <v>43948</v>
      </c>
      <c r="K21" s="6">
        <v>43977</v>
      </c>
    </row>
    <row r="22" spans="1:11" x14ac:dyDescent="0.25">
      <c r="A22" s="7" t="str">
        <f>IFERROR(IF(ISBLANK(B22),"No Delivery Data",VLOOKUP(B22,Table1[],2,FALSE)), "Not delivered at ZPRV")</f>
        <v>Not delivered at ZPRV</v>
      </c>
      <c r="B22" s="5">
        <v>0</v>
      </c>
      <c r="C22" s="4" t="s">
        <v>235</v>
      </c>
      <c r="D22" s="5" t="s">
        <v>10</v>
      </c>
      <c r="E22" s="5" t="s">
        <v>11</v>
      </c>
      <c r="F22" s="5" t="s">
        <v>209</v>
      </c>
      <c r="G22" s="7">
        <v>846</v>
      </c>
      <c r="H22" s="4">
        <v>435</v>
      </c>
      <c r="I22" s="4">
        <v>3846</v>
      </c>
      <c r="J22" s="8">
        <v>43951</v>
      </c>
      <c r="K22" s="6">
        <v>43977</v>
      </c>
    </row>
    <row r="23" spans="1:11" x14ac:dyDescent="0.25">
      <c r="A23" s="7" t="str">
        <f>IFERROR(IF(ISBLANK(B23),"No Delivery Data",VLOOKUP(B23,Table1[],2,FALSE)), "Not delivered at ZPRV")</f>
        <v>Not delivered at ZPRV</v>
      </c>
      <c r="B23" s="5">
        <v>0</v>
      </c>
      <c r="C23" s="4" t="s">
        <v>236</v>
      </c>
      <c r="D23" s="5" t="s">
        <v>10</v>
      </c>
      <c r="E23" s="5" t="s">
        <v>11</v>
      </c>
      <c r="F23" s="5" t="s">
        <v>209</v>
      </c>
      <c r="G23" s="7">
        <v>846</v>
      </c>
      <c r="H23" s="4">
        <v>910</v>
      </c>
      <c r="I23" s="4">
        <v>3846</v>
      </c>
      <c r="J23" s="8">
        <v>43951</v>
      </c>
      <c r="K23" s="6">
        <v>43977</v>
      </c>
    </row>
    <row r="24" spans="1:11" x14ac:dyDescent="0.25">
      <c r="A24" s="7" t="str">
        <f>IFERROR(IF(ISBLANK(B24),"No Delivery Data",VLOOKUP(B24,Table1[],2,FALSE)), "Not delivered at ZPRV")</f>
        <v>Not delivered at ZPRV</v>
      </c>
      <c r="B24" s="5">
        <v>0</v>
      </c>
      <c r="C24" s="4" t="s">
        <v>237</v>
      </c>
      <c r="D24" s="5" t="s">
        <v>10</v>
      </c>
      <c r="E24" s="5" t="s">
        <v>11</v>
      </c>
      <c r="F24" s="5" t="s">
        <v>209</v>
      </c>
      <c r="G24" s="7">
        <v>846</v>
      </c>
      <c r="H24" s="4">
        <v>846</v>
      </c>
      <c r="I24" s="4">
        <v>3503</v>
      </c>
      <c r="J24" s="8">
        <v>43962</v>
      </c>
      <c r="K24" s="6">
        <v>43977</v>
      </c>
    </row>
    <row r="25" spans="1:11" x14ac:dyDescent="0.25">
      <c r="A25" s="7" t="str">
        <f>IFERROR(IF(ISBLANK(B25),"No Delivery Data",VLOOKUP(B25,Table1[],2,FALSE)), "Not delivered at ZPRV")</f>
        <v>Not delivered at ZPRV</v>
      </c>
      <c r="B25" s="5">
        <v>0</v>
      </c>
      <c r="C25" s="4" t="s">
        <v>238</v>
      </c>
      <c r="D25" s="5" t="s">
        <v>10</v>
      </c>
      <c r="E25" s="5" t="s">
        <v>11</v>
      </c>
      <c r="F25" s="5" t="s">
        <v>209</v>
      </c>
      <c r="G25" s="7">
        <v>846</v>
      </c>
      <c r="H25" s="4">
        <v>846</v>
      </c>
      <c r="I25" s="4">
        <v>3945</v>
      </c>
      <c r="J25" s="8">
        <v>43963</v>
      </c>
      <c r="K25" s="6">
        <v>43977</v>
      </c>
    </row>
    <row r="26" spans="1:11" x14ac:dyDescent="0.25">
      <c r="A26" s="7" t="str">
        <f>IFERROR(IF(ISBLANK(B26),"No Delivery Data",VLOOKUP(B26,Table1[],2,FALSE)), "Not delivered at ZPRV")</f>
        <v>Not delivered at ZPRV</v>
      </c>
      <c r="B26" s="5">
        <v>0</v>
      </c>
      <c r="C26" s="4" t="s">
        <v>239</v>
      </c>
      <c r="D26" s="5" t="s">
        <v>10</v>
      </c>
      <c r="E26" s="5" t="s">
        <v>11</v>
      </c>
      <c r="F26" s="5" t="s">
        <v>209</v>
      </c>
      <c r="G26" s="7">
        <v>846</v>
      </c>
      <c r="H26" s="4">
        <v>846</v>
      </c>
      <c r="I26" s="4">
        <v>846</v>
      </c>
      <c r="J26" s="8">
        <v>43955</v>
      </c>
      <c r="K26" s="6">
        <v>43977</v>
      </c>
    </row>
    <row r="27" spans="1:11" x14ac:dyDescent="0.25">
      <c r="A27" s="7" t="str">
        <f>IFERROR(IF(ISBLANK(B27),"No Delivery Data",VLOOKUP(B27,Table1[],2,FALSE)), "Not delivered at ZPRV")</f>
        <v>Not delivered at ZPRV</v>
      </c>
      <c r="B27" s="5">
        <v>304877</v>
      </c>
      <c r="C27" s="4" t="s">
        <v>240</v>
      </c>
      <c r="D27" s="5" t="s">
        <v>10</v>
      </c>
      <c r="E27" s="5" t="s">
        <v>11</v>
      </c>
      <c r="F27" s="5" t="s">
        <v>209</v>
      </c>
      <c r="G27" s="7">
        <v>846</v>
      </c>
      <c r="H27" s="4">
        <v>846</v>
      </c>
      <c r="I27" s="4">
        <v>3943</v>
      </c>
      <c r="J27" s="8">
        <v>43937</v>
      </c>
      <c r="K27" s="6">
        <v>43977</v>
      </c>
    </row>
    <row r="28" spans="1:11" x14ac:dyDescent="0.25">
      <c r="A28" s="7" t="str">
        <f>IFERROR(IF(ISBLANK(B28),"No Delivery Data",VLOOKUP(B28,Table1[],2,FALSE)), "Not delivered at ZPRV")</f>
        <v>Not delivered at ZPRV</v>
      </c>
      <c r="B28" s="5">
        <v>0</v>
      </c>
      <c r="C28" s="4" t="s">
        <v>241</v>
      </c>
      <c r="D28" s="5" t="s">
        <v>10</v>
      </c>
      <c r="E28" s="5" t="s">
        <v>11</v>
      </c>
      <c r="F28" s="5" t="s">
        <v>209</v>
      </c>
      <c r="G28" s="7">
        <v>846</v>
      </c>
      <c r="H28" s="4">
        <v>660</v>
      </c>
      <c r="I28" s="4">
        <v>3846</v>
      </c>
      <c r="J28" s="8">
        <v>43963</v>
      </c>
      <c r="K28" s="6">
        <v>43974</v>
      </c>
    </row>
    <row r="29" spans="1:11" x14ac:dyDescent="0.25">
      <c r="A29" s="7" t="str">
        <f>IFERROR(IF(ISBLANK(B29),"No Delivery Data",VLOOKUP(B29,Table1[],2,FALSE)), "Not delivered at ZPRV")</f>
        <v>Not delivered at ZPRV</v>
      </c>
      <c r="B29" s="5">
        <v>0</v>
      </c>
      <c r="C29" s="4" t="s">
        <v>242</v>
      </c>
      <c r="D29" s="5" t="s">
        <v>10</v>
      </c>
      <c r="E29" s="5" t="s">
        <v>11</v>
      </c>
      <c r="F29" s="5" t="s">
        <v>209</v>
      </c>
      <c r="G29" s="7">
        <v>846</v>
      </c>
      <c r="H29" s="4">
        <v>925</v>
      </c>
      <c r="I29" s="4">
        <v>925</v>
      </c>
      <c r="J29" s="8">
        <v>43944</v>
      </c>
      <c r="K29" s="6">
        <v>43973</v>
      </c>
    </row>
    <row r="30" spans="1:11" x14ac:dyDescent="0.25">
      <c r="A30" s="7" t="str">
        <f>IFERROR(IF(ISBLANK(B30),"No Delivery Data",VLOOKUP(B30,Table1[],2,FALSE)), "Not delivered at ZPRV")</f>
        <v>Not delivered at ZPRV</v>
      </c>
      <c r="B30" s="5">
        <v>0</v>
      </c>
      <c r="C30" s="4" t="s">
        <v>243</v>
      </c>
      <c r="D30" s="5" t="s">
        <v>10</v>
      </c>
      <c r="E30" s="5" t="s">
        <v>11</v>
      </c>
      <c r="F30" s="5" t="s">
        <v>209</v>
      </c>
      <c r="G30" s="7">
        <v>846</v>
      </c>
      <c r="H30" s="4">
        <v>643</v>
      </c>
      <c r="I30" s="4">
        <v>643</v>
      </c>
      <c r="J30" s="8">
        <v>43930</v>
      </c>
      <c r="K30" s="6">
        <v>43973</v>
      </c>
    </row>
    <row r="31" spans="1:11" x14ac:dyDescent="0.25">
      <c r="A31" s="7" t="str">
        <f>IFERROR(IF(ISBLANK(B31),"No Delivery Data",VLOOKUP(B31,Table1[],2,FALSE)), "Not delivered at ZPRV")</f>
        <v>Not delivered at ZPRV</v>
      </c>
      <c r="B31" s="5">
        <v>0</v>
      </c>
      <c r="C31" s="4" t="s">
        <v>244</v>
      </c>
      <c r="D31" s="5" t="s">
        <v>10</v>
      </c>
      <c r="E31" s="5" t="s">
        <v>11</v>
      </c>
      <c r="F31" s="5" t="s">
        <v>209</v>
      </c>
      <c r="G31" s="7">
        <v>846</v>
      </c>
      <c r="H31" s="4">
        <v>435</v>
      </c>
      <c r="I31" s="4">
        <v>3846</v>
      </c>
      <c r="J31" s="8">
        <v>43951</v>
      </c>
      <c r="K31" s="6">
        <v>43973</v>
      </c>
    </row>
    <row r="32" spans="1:11" x14ac:dyDescent="0.25">
      <c r="A32" s="7" t="str">
        <f>IFERROR(IF(ISBLANK(B32),"No Delivery Data",VLOOKUP(B32,Table1[],2,FALSE)), "Not delivered at ZPRV")</f>
        <v>Not delivered at ZPRV</v>
      </c>
      <c r="B32" s="5">
        <v>0</v>
      </c>
      <c r="C32" s="4" t="s">
        <v>245</v>
      </c>
      <c r="D32" s="5" t="s">
        <v>10</v>
      </c>
      <c r="E32" s="5" t="s">
        <v>11</v>
      </c>
      <c r="F32" s="5" t="s">
        <v>209</v>
      </c>
      <c r="G32" s="7">
        <v>846</v>
      </c>
      <c r="H32" s="4">
        <v>480</v>
      </c>
      <c r="I32" s="4">
        <v>480</v>
      </c>
      <c r="J32" s="8">
        <v>43956</v>
      </c>
      <c r="K32" s="6">
        <v>43973</v>
      </c>
    </row>
    <row r="33" spans="1:11" x14ac:dyDescent="0.25">
      <c r="A33" s="7" t="str">
        <f>IFERROR(IF(ISBLANK(B33),"No Delivery Data",VLOOKUP(B33,Table1[],2,FALSE)), "Not delivered at ZPRV")</f>
        <v>Not delivered at ZPRV</v>
      </c>
      <c r="B33" s="5">
        <v>0</v>
      </c>
      <c r="C33" s="4" t="s">
        <v>246</v>
      </c>
      <c r="D33" s="5" t="s">
        <v>10</v>
      </c>
      <c r="E33" s="5" t="s">
        <v>11</v>
      </c>
      <c r="F33" s="5" t="s">
        <v>209</v>
      </c>
      <c r="G33" s="7">
        <v>846</v>
      </c>
      <c r="H33" s="4">
        <v>846</v>
      </c>
      <c r="I33" s="4">
        <v>3989</v>
      </c>
      <c r="J33" s="8">
        <v>43966</v>
      </c>
      <c r="K33" s="6">
        <v>43973</v>
      </c>
    </row>
    <row r="34" spans="1:11" x14ac:dyDescent="0.25">
      <c r="A34" s="7" t="str">
        <f>IFERROR(IF(ISBLANK(B34),"No Delivery Data",VLOOKUP(B34,Table1[],2,FALSE)), "Not delivered at ZPRV")</f>
        <v>Not delivered at ZPRV</v>
      </c>
      <c r="B34" s="5">
        <v>0</v>
      </c>
      <c r="C34" s="4" t="s">
        <v>247</v>
      </c>
      <c r="D34" s="5" t="s">
        <v>10</v>
      </c>
      <c r="E34" s="5" t="s">
        <v>11</v>
      </c>
      <c r="F34" s="5" t="s">
        <v>209</v>
      </c>
      <c r="G34" s="7">
        <v>846</v>
      </c>
      <c r="H34" s="4">
        <v>846</v>
      </c>
      <c r="I34" s="4">
        <v>3731</v>
      </c>
      <c r="J34" s="8">
        <v>43922</v>
      </c>
      <c r="K34" s="6">
        <v>43973</v>
      </c>
    </row>
    <row r="35" spans="1:11" x14ac:dyDescent="0.25">
      <c r="A35" s="7" t="str">
        <f>IFERROR(IF(ISBLANK(B35),"No Delivery Data",VLOOKUP(B35,Table1[],2,FALSE)), "Not delivered at ZPRV")</f>
        <v>Not delivered at ZPRV</v>
      </c>
      <c r="B35" s="5">
        <v>0</v>
      </c>
      <c r="C35" s="4" t="s">
        <v>248</v>
      </c>
      <c r="D35" s="5" t="s">
        <v>10</v>
      </c>
      <c r="E35" s="5" t="s">
        <v>11</v>
      </c>
      <c r="F35" s="5" t="s">
        <v>209</v>
      </c>
      <c r="G35" s="7">
        <v>846</v>
      </c>
      <c r="H35" s="4">
        <v>846</v>
      </c>
      <c r="I35" s="4">
        <v>3842</v>
      </c>
      <c r="J35" s="8">
        <v>43930</v>
      </c>
      <c r="K35" s="6">
        <v>43972</v>
      </c>
    </row>
    <row r="36" spans="1:11" x14ac:dyDescent="0.25">
      <c r="A36" s="7" t="str">
        <f>IFERROR(IF(ISBLANK(B36),"No Delivery Data",VLOOKUP(B36,Table1[],2,FALSE)), "Not delivered at ZPRV")</f>
        <v>Not delivered at ZPRV</v>
      </c>
      <c r="B36" s="5">
        <v>0</v>
      </c>
      <c r="C36" s="4" t="s">
        <v>249</v>
      </c>
      <c r="D36" s="5" t="s">
        <v>10</v>
      </c>
      <c r="E36" s="5" t="s">
        <v>11</v>
      </c>
      <c r="F36" s="5" t="s">
        <v>209</v>
      </c>
      <c r="G36" s="7">
        <v>846</v>
      </c>
      <c r="H36" s="4">
        <v>846</v>
      </c>
      <c r="I36" s="4">
        <v>3905</v>
      </c>
      <c r="J36" s="8">
        <v>43956</v>
      </c>
      <c r="K36" s="6">
        <v>43972</v>
      </c>
    </row>
    <row r="37" spans="1:11" x14ac:dyDescent="0.25">
      <c r="A37" s="7" t="str">
        <f>IFERROR(IF(ISBLANK(B37),"No Delivery Data",VLOOKUP(B37,Table1[],2,FALSE)), "Not delivered at ZPRV")</f>
        <v>Not delivered at ZPRV</v>
      </c>
      <c r="B37" s="5">
        <v>0</v>
      </c>
      <c r="C37" s="4" t="s">
        <v>250</v>
      </c>
      <c r="D37" s="5" t="s">
        <v>10</v>
      </c>
      <c r="E37" s="5" t="s">
        <v>11</v>
      </c>
      <c r="F37" s="5" t="s">
        <v>209</v>
      </c>
      <c r="G37" s="7">
        <v>846</v>
      </c>
      <c r="H37" s="4">
        <v>297</v>
      </c>
      <c r="I37" s="4">
        <v>3846</v>
      </c>
      <c r="J37" s="8">
        <v>43959</v>
      </c>
      <c r="K37" s="6">
        <v>43972</v>
      </c>
    </row>
    <row r="38" spans="1:11" x14ac:dyDescent="0.25">
      <c r="A38" s="7" t="str">
        <f>IFERROR(IF(ISBLANK(B38),"No Delivery Data",VLOOKUP(B38,Table1[],2,FALSE)), "Not delivered at ZPRV")</f>
        <v>Not delivered at ZPRV</v>
      </c>
      <c r="B38" s="5">
        <v>0</v>
      </c>
      <c r="C38" s="4" t="s">
        <v>251</v>
      </c>
      <c r="D38" s="5" t="s">
        <v>10</v>
      </c>
      <c r="E38" s="5" t="s">
        <v>11</v>
      </c>
      <c r="F38" s="5" t="s">
        <v>209</v>
      </c>
      <c r="G38" s="7">
        <v>846</v>
      </c>
      <c r="H38" s="4">
        <v>846</v>
      </c>
      <c r="I38" s="4">
        <v>846</v>
      </c>
      <c r="J38" s="8">
        <v>43959</v>
      </c>
      <c r="K38" s="6">
        <v>43972</v>
      </c>
    </row>
    <row r="39" spans="1:11" x14ac:dyDescent="0.25">
      <c r="A39" s="7" t="str">
        <f>IFERROR(IF(ISBLANK(B39),"No Delivery Data",VLOOKUP(B39,Table1[],2,FALSE)), "Not delivered at ZPRV")</f>
        <v>Not delivered at ZPRV</v>
      </c>
      <c r="B39" s="5">
        <v>0</v>
      </c>
      <c r="C39" s="4" t="s">
        <v>252</v>
      </c>
      <c r="D39" s="5" t="s">
        <v>10</v>
      </c>
      <c r="E39" s="5" t="s">
        <v>11</v>
      </c>
      <c r="F39" s="5" t="s">
        <v>209</v>
      </c>
      <c r="G39" s="7">
        <v>846</v>
      </c>
      <c r="H39" s="4">
        <v>846</v>
      </c>
      <c r="I39" s="4">
        <v>3905</v>
      </c>
      <c r="J39" s="8">
        <v>43942</v>
      </c>
      <c r="K39" s="6">
        <v>43972</v>
      </c>
    </row>
    <row r="40" spans="1:11" x14ac:dyDescent="0.25">
      <c r="A40" s="7" t="str">
        <f>IFERROR(IF(ISBLANK(B40),"No Delivery Data",VLOOKUP(B40,Table1[],2,FALSE)), "Not delivered at ZPRV")</f>
        <v>Not delivered at ZPRV</v>
      </c>
      <c r="B40" s="5">
        <v>0</v>
      </c>
      <c r="C40" s="4" t="s">
        <v>253</v>
      </c>
      <c r="D40" s="5" t="s">
        <v>10</v>
      </c>
      <c r="E40" s="5" t="s">
        <v>11</v>
      </c>
      <c r="F40" s="5" t="s">
        <v>209</v>
      </c>
      <c r="G40" s="7">
        <v>846</v>
      </c>
      <c r="H40" s="4">
        <v>386</v>
      </c>
      <c r="I40" s="4">
        <v>3846</v>
      </c>
      <c r="J40" s="8">
        <v>43870</v>
      </c>
      <c r="K40" s="6">
        <v>43971</v>
      </c>
    </row>
    <row r="41" spans="1:11" x14ac:dyDescent="0.25">
      <c r="A41" s="7" t="str">
        <f>IFERROR(IF(ISBLANK(B41),"No Delivery Data",VLOOKUP(B41,Table1[],2,FALSE)), "Not delivered at ZPRV")</f>
        <v>Not delivered at ZPRV</v>
      </c>
      <c r="B41" s="5">
        <v>0</v>
      </c>
      <c r="C41" s="4" t="s">
        <v>254</v>
      </c>
      <c r="D41" s="5" t="s">
        <v>10</v>
      </c>
      <c r="E41" s="5" t="s">
        <v>11</v>
      </c>
      <c r="F41" s="5" t="s">
        <v>209</v>
      </c>
      <c r="G41" s="7">
        <v>846</v>
      </c>
      <c r="H41" s="4">
        <v>293</v>
      </c>
      <c r="I41" s="4">
        <v>3846</v>
      </c>
      <c r="J41" s="8">
        <v>43957</v>
      </c>
      <c r="K41" s="6">
        <v>43971</v>
      </c>
    </row>
    <row r="42" spans="1:11" x14ac:dyDescent="0.25">
      <c r="A42" s="7" t="str">
        <f>IFERROR(IF(ISBLANK(B42),"No Delivery Data",VLOOKUP(B42,Table1[],2,FALSE)), "Not delivered at ZPRV")</f>
        <v>Not delivered at ZPRV</v>
      </c>
      <c r="B42" s="5">
        <v>0</v>
      </c>
      <c r="C42" s="4" t="s">
        <v>255</v>
      </c>
      <c r="D42" s="5" t="s">
        <v>10</v>
      </c>
      <c r="E42" s="5" t="s">
        <v>11</v>
      </c>
      <c r="F42" s="5" t="s">
        <v>209</v>
      </c>
      <c r="G42" s="7">
        <v>846</v>
      </c>
      <c r="H42" s="4">
        <v>846</v>
      </c>
      <c r="I42" s="4">
        <v>863</v>
      </c>
      <c r="J42" s="8">
        <v>43958</v>
      </c>
      <c r="K42" s="6">
        <v>43971</v>
      </c>
    </row>
    <row r="43" spans="1:11" x14ac:dyDescent="0.25">
      <c r="A43" s="7" t="str">
        <f>IFERROR(IF(ISBLANK(B43),"No Delivery Data",VLOOKUP(B43,Table1[],2,FALSE)), "Not delivered at ZPRV")</f>
        <v>Not delivered at ZPRV</v>
      </c>
      <c r="B43" s="5">
        <v>0</v>
      </c>
      <c r="C43" s="4" t="s">
        <v>256</v>
      </c>
      <c r="D43" s="5" t="s">
        <v>10</v>
      </c>
      <c r="E43" s="5" t="s">
        <v>11</v>
      </c>
      <c r="F43" s="5" t="s">
        <v>209</v>
      </c>
      <c r="G43" s="7">
        <v>846</v>
      </c>
      <c r="H43" s="4">
        <v>918</v>
      </c>
      <c r="I43" s="4">
        <v>3846</v>
      </c>
      <c r="J43" s="8">
        <v>43955</v>
      </c>
      <c r="K43" s="6">
        <v>43971</v>
      </c>
    </row>
    <row r="44" spans="1:11" x14ac:dyDescent="0.25">
      <c r="A44" s="7" t="str">
        <f>IFERROR(IF(ISBLANK(B44),"No Delivery Data",VLOOKUP(B44,Table1[],2,FALSE)), "Not delivered at ZPRV")</f>
        <v>Not delivered at ZPRV</v>
      </c>
      <c r="B44" s="5">
        <v>0</v>
      </c>
      <c r="C44" s="4" t="s">
        <v>257</v>
      </c>
      <c r="D44" s="5" t="s">
        <v>10</v>
      </c>
      <c r="E44" s="5" t="s">
        <v>11</v>
      </c>
      <c r="F44" s="5" t="s">
        <v>209</v>
      </c>
      <c r="G44" s="7">
        <v>846</v>
      </c>
      <c r="H44" s="4">
        <v>329</v>
      </c>
      <c r="I44" s="4">
        <v>846</v>
      </c>
      <c r="J44" s="8">
        <v>43930</v>
      </c>
      <c r="K44" s="6">
        <v>43971</v>
      </c>
    </row>
    <row r="45" spans="1:11" x14ac:dyDescent="0.25">
      <c r="A45" s="7" t="str">
        <f>IFERROR(IF(ISBLANK(B45),"No Delivery Data",VLOOKUP(B45,Table1[],2,FALSE)), "Not delivered at ZPRV")</f>
        <v>Not delivered at ZPRV</v>
      </c>
      <c r="B45" s="5">
        <v>0</v>
      </c>
      <c r="C45" s="4" t="s">
        <v>258</v>
      </c>
      <c r="D45" s="5" t="s">
        <v>10</v>
      </c>
      <c r="E45" s="5" t="s">
        <v>11</v>
      </c>
      <c r="F45" s="5" t="s">
        <v>209</v>
      </c>
      <c r="G45" s="7">
        <v>846</v>
      </c>
      <c r="H45" s="4">
        <v>530</v>
      </c>
      <c r="I45" s="4">
        <v>3846</v>
      </c>
      <c r="J45" s="8">
        <v>43952</v>
      </c>
      <c r="K45" s="6">
        <v>43971</v>
      </c>
    </row>
    <row r="46" spans="1:11" x14ac:dyDescent="0.25">
      <c r="A46" s="7" t="str">
        <f>IFERROR(IF(ISBLANK(B46),"No Delivery Data",VLOOKUP(B46,Table1[],2,FALSE)), "Not delivered at ZPRV")</f>
        <v>Not delivered at ZPRV</v>
      </c>
      <c r="B46" s="5">
        <v>0</v>
      </c>
      <c r="C46" s="4" t="s">
        <v>259</v>
      </c>
      <c r="D46" s="5" t="s">
        <v>10</v>
      </c>
      <c r="E46" s="5" t="s">
        <v>11</v>
      </c>
      <c r="F46" s="5" t="s">
        <v>209</v>
      </c>
      <c r="G46" s="7">
        <v>846</v>
      </c>
      <c r="H46" s="4">
        <v>846</v>
      </c>
      <c r="I46" s="4">
        <v>780</v>
      </c>
      <c r="J46" s="8">
        <v>43958</v>
      </c>
      <c r="K46" s="6">
        <v>43971</v>
      </c>
    </row>
    <row r="47" spans="1:11" x14ac:dyDescent="0.25">
      <c r="A47" s="7" t="str">
        <f>IFERROR(IF(ISBLANK(B47),"No Delivery Data",VLOOKUP(B47,Table1[],2,FALSE)), "Not delivered at ZPRV")</f>
        <v>Not delivered at ZPRV</v>
      </c>
      <c r="B47" s="5">
        <v>0</v>
      </c>
      <c r="C47" s="4" t="s">
        <v>260</v>
      </c>
      <c r="D47" s="5" t="s">
        <v>10</v>
      </c>
      <c r="E47" s="5" t="s">
        <v>11</v>
      </c>
      <c r="F47" s="5" t="s">
        <v>209</v>
      </c>
      <c r="G47" s="7">
        <v>846</v>
      </c>
      <c r="H47" s="4">
        <v>910</v>
      </c>
      <c r="I47" s="4">
        <v>3846</v>
      </c>
      <c r="J47" s="8">
        <v>43787</v>
      </c>
      <c r="K47" s="6">
        <v>43971</v>
      </c>
    </row>
    <row r="48" spans="1:11" x14ac:dyDescent="0.25">
      <c r="A48" s="7" t="str">
        <f>IFERROR(IF(ISBLANK(B48),"No Delivery Data",VLOOKUP(B48,Table1[],2,FALSE)), "Not delivered at ZPRV")</f>
        <v>Not delivered at ZPRV</v>
      </c>
      <c r="B48" s="5">
        <v>0</v>
      </c>
      <c r="C48" s="4" t="s">
        <v>261</v>
      </c>
      <c r="D48" s="5" t="s">
        <v>10</v>
      </c>
      <c r="E48" s="5" t="s">
        <v>11</v>
      </c>
      <c r="F48" s="5" t="s">
        <v>209</v>
      </c>
      <c r="G48" s="7">
        <v>846</v>
      </c>
      <c r="H48" s="4">
        <v>294</v>
      </c>
      <c r="I48" s="4">
        <v>3846</v>
      </c>
      <c r="J48" s="8">
        <v>43942</v>
      </c>
      <c r="K48" s="6">
        <v>43970</v>
      </c>
    </row>
    <row r="49" spans="1:11" x14ac:dyDescent="0.25">
      <c r="A49" s="7" t="str">
        <f>IFERROR(IF(ISBLANK(B49),"No Delivery Data",VLOOKUP(B49,Table1[],2,FALSE)), "Not delivered at ZPRV")</f>
        <v>Not delivered at ZPRV</v>
      </c>
      <c r="B49" s="5">
        <v>0</v>
      </c>
      <c r="C49" s="4" t="s">
        <v>262</v>
      </c>
      <c r="D49" s="5" t="s">
        <v>10</v>
      </c>
      <c r="E49" s="5" t="s">
        <v>11</v>
      </c>
      <c r="F49" s="5" t="s">
        <v>209</v>
      </c>
      <c r="G49" s="7">
        <v>846</v>
      </c>
      <c r="H49" s="4">
        <v>326</v>
      </c>
      <c r="I49" s="4">
        <v>846</v>
      </c>
      <c r="J49" s="8">
        <v>43944</v>
      </c>
      <c r="K49" s="6">
        <v>43970</v>
      </c>
    </row>
    <row r="50" spans="1:11" x14ac:dyDescent="0.25">
      <c r="A50" s="7" t="str">
        <f>IFERROR(IF(ISBLANK(B50),"No Delivery Data",VLOOKUP(B50,Table1[],2,FALSE)), "Not delivered at ZPRV")</f>
        <v>Not delivered at ZPRV</v>
      </c>
      <c r="B50" s="5">
        <v>0</v>
      </c>
      <c r="C50" s="4" t="s">
        <v>263</v>
      </c>
      <c r="D50" s="5" t="s">
        <v>10</v>
      </c>
      <c r="E50" s="5" t="s">
        <v>11</v>
      </c>
      <c r="F50" s="5" t="s">
        <v>209</v>
      </c>
      <c r="G50" s="7">
        <v>846</v>
      </c>
      <c r="H50" s="4">
        <v>925</v>
      </c>
      <c r="I50" s="4">
        <v>925</v>
      </c>
      <c r="J50" s="8">
        <v>43950</v>
      </c>
      <c r="K50" s="6">
        <v>43970</v>
      </c>
    </row>
    <row r="51" spans="1:11" x14ac:dyDescent="0.25">
      <c r="A51" s="7" t="str">
        <f>IFERROR(IF(ISBLANK(B51),"No Delivery Data",VLOOKUP(B51,Table1[],2,FALSE)), "Not delivered at ZPRV")</f>
        <v>Not delivered at ZPRV</v>
      </c>
      <c r="B51" s="5">
        <v>0</v>
      </c>
      <c r="C51" s="4" t="s">
        <v>264</v>
      </c>
      <c r="D51" s="5" t="s">
        <v>10</v>
      </c>
      <c r="E51" s="5" t="s">
        <v>11</v>
      </c>
      <c r="F51" s="5" t="s">
        <v>209</v>
      </c>
      <c r="G51" s="7">
        <v>846</v>
      </c>
      <c r="H51" s="4">
        <v>86</v>
      </c>
      <c r="I51" s="4">
        <v>3846</v>
      </c>
      <c r="J51" s="8">
        <v>43948</v>
      </c>
      <c r="K51" s="6">
        <v>43970</v>
      </c>
    </row>
    <row r="52" spans="1:11" x14ac:dyDescent="0.25">
      <c r="A52" s="7" t="str">
        <f>IFERROR(IF(ISBLANK(B52),"No Delivery Data",VLOOKUP(B52,Table1[],2,FALSE)), "Not delivered at ZPRV")</f>
        <v>Not delivered at ZPRV</v>
      </c>
      <c r="B52" s="5">
        <v>0</v>
      </c>
      <c r="C52" s="4" t="s">
        <v>265</v>
      </c>
      <c r="D52" s="5" t="s">
        <v>10</v>
      </c>
      <c r="E52" s="5" t="s">
        <v>11</v>
      </c>
      <c r="F52" s="5" t="s">
        <v>209</v>
      </c>
      <c r="G52" s="7">
        <v>846</v>
      </c>
      <c r="H52" s="4">
        <v>901</v>
      </c>
      <c r="I52" s="4">
        <v>3846</v>
      </c>
      <c r="J52" s="8">
        <v>43950</v>
      </c>
      <c r="K52" s="6">
        <v>43970</v>
      </c>
    </row>
    <row r="53" spans="1:11" x14ac:dyDescent="0.25">
      <c r="A53" s="7" t="str">
        <f>IFERROR(IF(ISBLANK(B53),"No Delivery Data",VLOOKUP(B53,Table1[],2,FALSE)), "Not delivered at ZPRV")</f>
        <v>Not delivered at ZPRV</v>
      </c>
      <c r="B53" s="5">
        <v>0</v>
      </c>
      <c r="C53" s="4" t="s">
        <v>266</v>
      </c>
      <c r="D53" s="5" t="s">
        <v>10</v>
      </c>
      <c r="E53" s="5" t="s">
        <v>11</v>
      </c>
      <c r="F53" s="5" t="s">
        <v>209</v>
      </c>
      <c r="G53" s="7">
        <v>846</v>
      </c>
      <c r="H53" s="4">
        <v>785</v>
      </c>
      <c r="I53" s="4">
        <v>3846</v>
      </c>
      <c r="J53" s="8">
        <v>43950</v>
      </c>
      <c r="K53" s="6">
        <v>43970</v>
      </c>
    </row>
    <row r="54" spans="1:11" x14ac:dyDescent="0.25">
      <c r="A54" s="7" t="str">
        <f>IFERROR(IF(ISBLANK(B54),"No Delivery Data",VLOOKUP(B54,Table1[],2,FALSE)), "Not delivered at ZPRV")</f>
        <v>Not delivered at ZPRV</v>
      </c>
      <c r="B54" s="5">
        <v>0</v>
      </c>
      <c r="C54" s="4" t="s">
        <v>267</v>
      </c>
      <c r="D54" s="5" t="s">
        <v>10</v>
      </c>
      <c r="E54" s="5" t="s">
        <v>11</v>
      </c>
      <c r="F54" s="5" t="s">
        <v>209</v>
      </c>
      <c r="G54" s="7">
        <v>846</v>
      </c>
      <c r="H54" s="4">
        <v>846</v>
      </c>
      <c r="I54" s="4">
        <v>846</v>
      </c>
      <c r="J54" s="8">
        <v>43957</v>
      </c>
      <c r="K54" s="6">
        <v>43970</v>
      </c>
    </row>
    <row r="55" spans="1:11" x14ac:dyDescent="0.25">
      <c r="A55" s="7" t="str">
        <f>IFERROR(IF(ISBLANK(B55),"No Delivery Data",VLOOKUP(B55,Table1[],2,FALSE)), "Not delivered at ZPRV")</f>
        <v>Not delivered at ZPRV</v>
      </c>
      <c r="B55" s="5">
        <v>0</v>
      </c>
      <c r="C55" s="4" t="s">
        <v>268</v>
      </c>
      <c r="D55" s="5" t="s">
        <v>10</v>
      </c>
      <c r="E55" s="5" t="s">
        <v>11</v>
      </c>
      <c r="F55" s="5" t="s">
        <v>209</v>
      </c>
      <c r="G55" s="7">
        <v>846</v>
      </c>
      <c r="H55" s="4">
        <v>928</v>
      </c>
      <c r="I55" s="4">
        <v>846</v>
      </c>
      <c r="J55" s="8">
        <v>43959</v>
      </c>
      <c r="K55" s="6">
        <v>43970</v>
      </c>
    </row>
    <row r="56" spans="1:11" x14ac:dyDescent="0.25">
      <c r="A56" s="7" t="str">
        <f>IFERROR(IF(ISBLANK(B56),"No Delivery Data",VLOOKUP(B56,Table1[],2,FALSE)), "Not delivered at ZPRV")</f>
        <v>Not delivered at ZPRV</v>
      </c>
      <c r="B56" s="5">
        <v>0</v>
      </c>
      <c r="C56" s="4" t="s">
        <v>269</v>
      </c>
      <c r="D56" s="5" t="s">
        <v>10</v>
      </c>
      <c r="E56" s="5" t="s">
        <v>11</v>
      </c>
      <c r="F56" s="5" t="s">
        <v>209</v>
      </c>
      <c r="G56" s="7">
        <v>846</v>
      </c>
      <c r="H56" s="4">
        <v>928</v>
      </c>
      <c r="I56" s="4">
        <v>846</v>
      </c>
      <c r="J56" s="8">
        <v>43959</v>
      </c>
      <c r="K56" s="6">
        <v>43970</v>
      </c>
    </row>
    <row r="57" spans="1:11" x14ac:dyDescent="0.25">
      <c r="A57" s="7" t="str">
        <f>IFERROR(IF(ISBLANK(B57),"No Delivery Data",VLOOKUP(B57,Table1[],2,FALSE)), "Not delivered at ZPRV")</f>
        <v>Not delivered at ZPRV</v>
      </c>
      <c r="B57" s="5">
        <v>0</v>
      </c>
      <c r="C57" s="4" t="s">
        <v>270</v>
      </c>
      <c r="D57" s="5" t="s">
        <v>10</v>
      </c>
      <c r="E57" s="5" t="s">
        <v>11</v>
      </c>
      <c r="F57" s="5" t="s">
        <v>209</v>
      </c>
      <c r="G57" s="7">
        <v>846</v>
      </c>
      <c r="H57" s="4">
        <v>374</v>
      </c>
      <c r="I57" s="4">
        <v>3846</v>
      </c>
      <c r="J57" s="8">
        <v>43921</v>
      </c>
      <c r="K57" s="6">
        <v>43969</v>
      </c>
    </row>
    <row r="58" spans="1:11" x14ac:dyDescent="0.25">
      <c r="A58" s="7" t="str">
        <f>IFERROR(IF(ISBLANK(B58),"No Delivery Data",VLOOKUP(B58,Table1[],2,FALSE)), "Not delivered at ZPRV")</f>
        <v>Not delivered at ZPRV</v>
      </c>
      <c r="B58" s="5">
        <v>0</v>
      </c>
      <c r="C58" s="4" t="s">
        <v>271</v>
      </c>
      <c r="D58" s="5" t="s">
        <v>10</v>
      </c>
      <c r="E58" s="5" t="s">
        <v>11</v>
      </c>
      <c r="F58" s="5" t="s">
        <v>209</v>
      </c>
      <c r="G58" s="7">
        <v>846</v>
      </c>
      <c r="H58" s="4">
        <v>846</v>
      </c>
      <c r="I58" s="4">
        <v>846</v>
      </c>
      <c r="J58" s="8">
        <v>43937</v>
      </c>
      <c r="K58" s="6">
        <v>43969</v>
      </c>
    </row>
    <row r="59" spans="1:11" x14ac:dyDescent="0.25">
      <c r="A59" s="7" t="str">
        <f>IFERROR(IF(ISBLANK(B59),"No Delivery Data",VLOOKUP(B59,Table1[],2,FALSE)), "Not delivered at ZPRV")</f>
        <v>Not delivered at ZPRV</v>
      </c>
      <c r="B59" s="5">
        <v>0</v>
      </c>
      <c r="C59" s="4" t="s">
        <v>272</v>
      </c>
      <c r="D59" s="5" t="s">
        <v>10</v>
      </c>
      <c r="E59" s="5" t="s">
        <v>11</v>
      </c>
      <c r="F59" s="5" t="s">
        <v>209</v>
      </c>
      <c r="G59" s="7">
        <v>846</v>
      </c>
      <c r="H59" s="4">
        <v>846</v>
      </c>
      <c r="I59" s="4">
        <v>858</v>
      </c>
      <c r="J59" s="8">
        <v>43957</v>
      </c>
      <c r="K59" s="6">
        <v>43969</v>
      </c>
    </row>
    <row r="60" spans="1:11" x14ac:dyDescent="0.25">
      <c r="A60" s="7" t="str">
        <f>IFERROR(IF(ISBLANK(B60),"No Delivery Data",VLOOKUP(B60,Table1[],2,FALSE)), "Not delivered at ZPRV")</f>
        <v>Not delivered at ZPRV</v>
      </c>
      <c r="B60" s="5">
        <v>0</v>
      </c>
      <c r="C60" s="4" t="s">
        <v>273</v>
      </c>
      <c r="D60" s="5" t="s">
        <v>10</v>
      </c>
      <c r="E60" s="5" t="s">
        <v>11</v>
      </c>
      <c r="F60" s="5" t="s">
        <v>209</v>
      </c>
      <c r="G60" s="7">
        <v>846</v>
      </c>
      <c r="H60" s="4">
        <v>846</v>
      </c>
      <c r="I60" s="4">
        <v>3925</v>
      </c>
      <c r="J60" s="8">
        <v>43952</v>
      </c>
      <c r="K60" s="6">
        <v>43967</v>
      </c>
    </row>
    <row r="61" spans="1:11" x14ac:dyDescent="0.25">
      <c r="A61" s="7" t="str">
        <f>IFERROR(IF(ISBLANK(B61),"No Delivery Data",VLOOKUP(B61,Table1[],2,FALSE)), "Not delivered at ZPRV")</f>
        <v>Not delivered at ZPRV</v>
      </c>
      <c r="B61" s="5">
        <v>0</v>
      </c>
      <c r="C61" s="4" t="s">
        <v>274</v>
      </c>
      <c r="D61" s="5" t="s">
        <v>10</v>
      </c>
      <c r="E61" s="5" t="s">
        <v>11</v>
      </c>
      <c r="F61" s="5" t="s">
        <v>209</v>
      </c>
      <c r="G61" s="7">
        <v>846</v>
      </c>
      <c r="H61" s="4" t="s">
        <v>46</v>
      </c>
      <c r="I61" s="4" t="s">
        <v>46</v>
      </c>
      <c r="J61" s="8">
        <v>43935</v>
      </c>
      <c r="K61" s="6">
        <v>43967</v>
      </c>
    </row>
    <row r="62" spans="1:11" x14ac:dyDescent="0.25">
      <c r="A62" s="7" t="str">
        <f>IFERROR(IF(ISBLANK(B62),"No Delivery Data",VLOOKUP(B62,Table1[],2,FALSE)), "Not delivered at ZPRV")</f>
        <v>Not delivered at ZPRV</v>
      </c>
      <c r="B62" s="5">
        <v>0</v>
      </c>
      <c r="C62" s="4" t="s">
        <v>275</v>
      </c>
      <c r="D62" s="5" t="s">
        <v>10</v>
      </c>
      <c r="E62" s="5" t="s">
        <v>11</v>
      </c>
      <c r="F62" s="5" t="s">
        <v>209</v>
      </c>
      <c r="G62" s="7">
        <v>846</v>
      </c>
      <c r="H62" s="4">
        <v>846</v>
      </c>
      <c r="I62" s="4">
        <v>314</v>
      </c>
      <c r="J62" s="8">
        <v>43957</v>
      </c>
      <c r="K62" s="6">
        <v>43967</v>
      </c>
    </row>
    <row r="63" spans="1:11" x14ac:dyDescent="0.25">
      <c r="A63" s="7" t="str">
        <f>IFERROR(IF(ISBLANK(B63),"No Delivery Data",VLOOKUP(B63,Table1[],2,FALSE)), "Not delivered at ZPRV")</f>
        <v>Not delivered at ZPRV</v>
      </c>
      <c r="B63" s="5">
        <v>0</v>
      </c>
      <c r="C63" s="4" t="s">
        <v>276</v>
      </c>
      <c r="D63" s="5" t="s">
        <v>10</v>
      </c>
      <c r="E63" s="5" t="s">
        <v>11</v>
      </c>
      <c r="F63" s="5" t="s">
        <v>209</v>
      </c>
      <c r="G63" s="7">
        <v>846</v>
      </c>
      <c r="H63" s="4">
        <v>928</v>
      </c>
      <c r="I63" s="4">
        <v>3846</v>
      </c>
      <c r="J63" s="8">
        <v>43928</v>
      </c>
      <c r="K63" s="6">
        <v>43966</v>
      </c>
    </row>
    <row r="64" spans="1:11" x14ac:dyDescent="0.25">
      <c r="A64" s="7" t="str">
        <f>IFERROR(IF(ISBLANK(B64),"No Delivery Data",VLOOKUP(B64,Table1[],2,FALSE)), "Not delivered at ZPRV")</f>
        <v>Not delivered at ZPRV</v>
      </c>
      <c r="B64" s="5">
        <v>0</v>
      </c>
      <c r="C64" s="4" t="s">
        <v>277</v>
      </c>
      <c r="D64" s="5" t="s">
        <v>10</v>
      </c>
      <c r="E64" s="5" t="s">
        <v>11</v>
      </c>
      <c r="F64" s="5" t="s">
        <v>209</v>
      </c>
      <c r="G64" s="7">
        <v>846</v>
      </c>
      <c r="H64" s="4">
        <v>846</v>
      </c>
      <c r="I64" s="4">
        <v>598</v>
      </c>
      <c r="J64" s="8">
        <v>43957</v>
      </c>
      <c r="K64" s="6">
        <v>43966</v>
      </c>
    </row>
    <row r="65" spans="1:11" x14ac:dyDescent="0.25">
      <c r="A65" s="7" t="str">
        <f>IFERROR(IF(ISBLANK(B65),"No Delivery Data",VLOOKUP(B65,Table1[],2,FALSE)), "Not delivered at ZPRV")</f>
        <v>Not delivered at ZPRV</v>
      </c>
      <c r="B65" s="5">
        <v>0</v>
      </c>
      <c r="C65" s="4" t="s">
        <v>278</v>
      </c>
      <c r="D65" s="5" t="s">
        <v>10</v>
      </c>
      <c r="E65" s="5" t="s">
        <v>11</v>
      </c>
      <c r="F65" s="5" t="s">
        <v>209</v>
      </c>
      <c r="G65" s="7">
        <v>846</v>
      </c>
      <c r="H65" s="4">
        <v>846</v>
      </c>
      <c r="I65" s="4">
        <v>846</v>
      </c>
      <c r="J65" s="8">
        <v>43927</v>
      </c>
      <c r="K65" s="6">
        <v>43966</v>
      </c>
    </row>
    <row r="66" spans="1:11" x14ac:dyDescent="0.25">
      <c r="A66" s="7" t="str">
        <f>IFERROR(IF(ISBLANK(B66),"No Delivery Data",VLOOKUP(B66,Table1[],2,FALSE)), "Not delivered at ZPRV")</f>
        <v>Not delivered at ZPRV</v>
      </c>
      <c r="B66" s="5">
        <v>0</v>
      </c>
      <c r="C66" s="4" t="s">
        <v>279</v>
      </c>
      <c r="D66" s="5" t="s">
        <v>10</v>
      </c>
      <c r="E66" s="5" t="s">
        <v>11</v>
      </c>
      <c r="F66" s="5" t="s">
        <v>209</v>
      </c>
      <c r="G66" s="7">
        <v>846</v>
      </c>
      <c r="H66" s="4">
        <v>846</v>
      </c>
      <c r="I66" s="4">
        <v>3302</v>
      </c>
      <c r="J66" s="8">
        <v>43950</v>
      </c>
      <c r="K66" s="6">
        <v>43966</v>
      </c>
    </row>
    <row r="67" spans="1:11" x14ac:dyDescent="0.25">
      <c r="A67" s="7" t="str">
        <f>IFERROR(IF(ISBLANK(B67),"No Delivery Data",VLOOKUP(B67,Table1[],2,FALSE)), "Not delivered at ZPRV")</f>
        <v>Not delivered at ZPRV</v>
      </c>
      <c r="B67" s="5">
        <v>0</v>
      </c>
      <c r="C67" s="4" t="s">
        <v>280</v>
      </c>
      <c r="D67" s="5" t="s">
        <v>10</v>
      </c>
      <c r="E67" s="5" t="s">
        <v>11</v>
      </c>
      <c r="F67" s="5" t="s">
        <v>209</v>
      </c>
      <c r="G67" s="7">
        <v>846</v>
      </c>
      <c r="H67" s="4">
        <v>846</v>
      </c>
      <c r="I67" s="4">
        <v>107</v>
      </c>
      <c r="J67" s="8">
        <v>43952</v>
      </c>
      <c r="K67" s="6">
        <v>43966</v>
      </c>
    </row>
    <row r="68" spans="1:11" x14ac:dyDescent="0.25">
      <c r="A68" s="7" t="str">
        <f>IFERROR(IF(ISBLANK(B68),"No Delivery Data",VLOOKUP(B68,Table1[],2,FALSE)), "Not delivered at ZPRV")</f>
        <v>Not delivered at ZPRV</v>
      </c>
      <c r="B68" s="5">
        <v>0</v>
      </c>
      <c r="C68" s="4" t="s">
        <v>281</v>
      </c>
      <c r="D68" s="5" t="s">
        <v>10</v>
      </c>
      <c r="E68" s="5" t="s">
        <v>11</v>
      </c>
      <c r="F68" s="5" t="s">
        <v>209</v>
      </c>
      <c r="G68" s="7">
        <v>846</v>
      </c>
      <c r="H68" s="4">
        <v>846</v>
      </c>
      <c r="I68" s="4">
        <v>3915</v>
      </c>
      <c r="J68" s="8">
        <v>43955</v>
      </c>
      <c r="K68" s="6">
        <v>43966</v>
      </c>
    </row>
    <row r="69" spans="1:11" x14ac:dyDescent="0.25">
      <c r="A69" s="7" t="str">
        <f>IFERROR(IF(ISBLANK(B69),"No Delivery Data",VLOOKUP(B69,Table1[],2,FALSE)), "Not delivered at ZPRV")</f>
        <v>Not delivered at ZPRV</v>
      </c>
      <c r="B69" s="5">
        <v>0</v>
      </c>
      <c r="C69" s="4" t="s">
        <v>282</v>
      </c>
      <c r="D69" s="5" t="s">
        <v>10</v>
      </c>
      <c r="E69" s="5" t="s">
        <v>11</v>
      </c>
      <c r="F69" s="5" t="s">
        <v>209</v>
      </c>
      <c r="G69" s="7">
        <v>846</v>
      </c>
      <c r="H69" s="4">
        <v>755</v>
      </c>
      <c r="I69" s="4">
        <v>3846</v>
      </c>
      <c r="J69" s="8">
        <v>43962</v>
      </c>
      <c r="K69" s="6">
        <v>43966</v>
      </c>
    </row>
    <row r="70" spans="1:11" x14ac:dyDescent="0.25">
      <c r="A70" s="7" t="str">
        <f>IFERROR(IF(ISBLANK(B70),"No Delivery Data",VLOOKUP(B70,Table1[],2,FALSE)), "Not delivered at ZPRV")</f>
        <v>Not delivered at ZPRV</v>
      </c>
      <c r="B70" s="5">
        <v>0</v>
      </c>
      <c r="C70" s="4" t="s">
        <v>283</v>
      </c>
      <c r="D70" s="5" t="s">
        <v>10</v>
      </c>
      <c r="E70" s="5" t="s">
        <v>11</v>
      </c>
      <c r="F70" s="5" t="s">
        <v>209</v>
      </c>
      <c r="G70" s="7">
        <v>846</v>
      </c>
      <c r="H70" s="4">
        <v>554</v>
      </c>
      <c r="I70" s="4">
        <v>846</v>
      </c>
      <c r="J70" s="8">
        <v>43941</v>
      </c>
      <c r="K70" s="6">
        <v>43965</v>
      </c>
    </row>
    <row r="71" spans="1:11" x14ac:dyDescent="0.25">
      <c r="A71" s="7" t="str">
        <f>IFERROR(IF(ISBLANK(B71),"No Delivery Data",VLOOKUP(B71,Table1[],2,FALSE)), "Not delivered at ZPRV")</f>
        <v>Not delivered at ZPRV</v>
      </c>
      <c r="B71" s="5">
        <v>0</v>
      </c>
      <c r="C71" s="4" t="s">
        <v>284</v>
      </c>
      <c r="D71" s="5" t="s">
        <v>10</v>
      </c>
      <c r="E71" s="5" t="s">
        <v>11</v>
      </c>
      <c r="F71" s="5" t="s">
        <v>209</v>
      </c>
      <c r="G71" s="7">
        <v>846</v>
      </c>
      <c r="H71" s="4">
        <v>846</v>
      </c>
      <c r="I71" s="4">
        <v>3952</v>
      </c>
      <c r="J71" s="8">
        <v>43944</v>
      </c>
      <c r="K71" s="6">
        <v>43965</v>
      </c>
    </row>
    <row r="72" spans="1:11" x14ac:dyDescent="0.25">
      <c r="A72" s="7" t="str">
        <f>IFERROR(IF(ISBLANK(B72),"No Delivery Data",VLOOKUP(B72,Table1[],2,FALSE)), "Not delivered at ZPRV")</f>
        <v>Not delivered at ZPRV</v>
      </c>
      <c r="B72" s="5">
        <v>0</v>
      </c>
      <c r="C72" s="4" t="s">
        <v>285</v>
      </c>
      <c r="D72" s="5" t="s">
        <v>10</v>
      </c>
      <c r="E72" s="5" t="s">
        <v>11</v>
      </c>
      <c r="F72" s="5" t="s">
        <v>209</v>
      </c>
      <c r="G72" s="7">
        <v>846</v>
      </c>
      <c r="H72" s="4">
        <v>910</v>
      </c>
      <c r="I72" s="4">
        <v>3846</v>
      </c>
      <c r="J72" s="8">
        <v>43899</v>
      </c>
      <c r="K72" s="6">
        <v>43965</v>
      </c>
    </row>
    <row r="73" spans="1:11" x14ac:dyDescent="0.25">
      <c r="A73" s="7" t="str">
        <f>IFERROR(IF(ISBLANK(B73),"No Delivery Data",VLOOKUP(B73,Table1[],2,FALSE)), "Not delivered at ZPRV")</f>
        <v>Not delivered at ZPRV</v>
      </c>
      <c r="B73" s="5">
        <v>0</v>
      </c>
      <c r="C73" s="4" t="s">
        <v>286</v>
      </c>
      <c r="D73" s="5" t="s">
        <v>10</v>
      </c>
      <c r="E73" s="5" t="s">
        <v>11</v>
      </c>
      <c r="F73" s="5" t="s">
        <v>209</v>
      </c>
      <c r="G73" s="7">
        <v>846</v>
      </c>
      <c r="H73" s="4">
        <v>846</v>
      </c>
      <c r="I73" s="4">
        <v>3600</v>
      </c>
      <c r="J73" s="8">
        <v>43915</v>
      </c>
      <c r="K73" s="6">
        <v>43965</v>
      </c>
    </row>
    <row r="74" spans="1:11" x14ac:dyDescent="0.25">
      <c r="A74" s="7" t="str">
        <f>IFERROR(IF(ISBLANK(B74),"No Delivery Data",VLOOKUP(B74,Table1[],2,FALSE)), "Not delivered at ZPRV")</f>
        <v>Not delivered at ZPRV</v>
      </c>
      <c r="B74" s="5">
        <v>0</v>
      </c>
      <c r="C74" s="4" t="s">
        <v>287</v>
      </c>
      <c r="D74" s="5" t="s">
        <v>10</v>
      </c>
      <c r="E74" s="5" t="s">
        <v>11</v>
      </c>
      <c r="F74" s="5" t="s">
        <v>209</v>
      </c>
      <c r="G74" s="7">
        <v>846</v>
      </c>
      <c r="H74" s="4">
        <v>181</v>
      </c>
      <c r="I74" s="4">
        <v>3846</v>
      </c>
      <c r="J74" s="8">
        <v>43935</v>
      </c>
      <c r="K74" s="6">
        <v>43965</v>
      </c>
    </row>
    <row r="75" spans="1:11" x14ac:dyDescent="0.25">
      <c r="A75" s="7" t="str">
        <f>IFERROR(IF(ISBLANK(B75),"No Delivery Data",VLOOKUP(B75,Table1[],2,FALSE)), "Not delivered at ZPRV")</f>
        <v>Not delivered at ZPRV</v>
      </c>
      <c r="B75" s="5">
        <v>0</v>
      </c>
      <c r="C75" s="4" t="s">
        <v>288</v>
      </c>
      <c r="D75" s="5" t="s">
        <v>10</v>
      </c>
      <c r="E75" s="5" t="s">
        <v>11</v>
      </c>
      <c r="F75" s="5" t="s">
        <v>209</v>
      </c>
      <c r="G75" s="7">
        <v>846</v>
      </c>
      <c r="H75" s="4">
        <v>846</v>
      </c>
      <c r="I75" s="4">
        <v>846</v>
      </c>
      <c r="J75" s="8">
        <v>43942</v>
      </c>
      <c r="K75" s="6">
        <v>43965</v>
      </c>
    </row>
    <row r="76" spans="1:11" x14ac:dyDescent="0.25">
      <c r="A76" s="7" t="str">
        <f>IFERROR(IF(ISBLANK(B76),"No Delivery Data",VLOOKUP(B76,Table1[],2,FALSE)), "Not delivered at ZPRV")</f>
        <v>Not delivered at ZPRV</v>
      </c>
      <c r="B76" s="5">
        <v>0</v>
      </c>
      <c r="C76" s="4" t="s">
        <v>289</v>
      </c>
      <c r="D76" s="5" t="s">
        <v>10</v>
      </c>
      <c r="E76" s="5" t="s">
        <v>11</v>
      </c>
      <c r="F76" s="5" t="s">
        <v>209</v>
      </c>
      <c r="G76" s="7">
        <v>846</v>
      </c>
      <c r="H76" s="4">
        <v>846</v>
      </c>
      <c r="I76" s="4">
        <v>772</v>
      </c>
      <c r="J76" s="8">
        <v>43951</v>
      </c>
      <c r="K76" s="6">
        <v>43965</v>
      </c>
    </row>
    <row r="77" spans="1:11" x14ac:dyDescent="0.25">
      <c r="A77" s="7" t="str">
        <f>IFERROR(IF(ISBLANK(B77),"No Delivery Data",VLOOKUP(B77,Table1[],2,FALSE)), "Not delivered at ZPRV")</f>
        <v>Not delivered at ZPRV</v>
      </c>
      <c r="B77" s="5">
        <v>0</v>
      </c>
      <c r="C77" s="4" t="s">
        <v>290</v>
      </c>
      <c r="D77" s="5" t="s">
        <v>10</v>
      </c>
      <c r="E77" s="5" t="s">
        <v>11</v>
      </c>
      <c r="F77" s="5" t="s">
        <v>209</v>
      </c>
      <c r="G77" s="7">
        <v>846</v>
      </c>
      <c r="H77" s="4">
        <v>846</v>
      </c>
      <c r="I77" s="4">
        <v>362</v>
      </c>
      <c r="J77" s="8">
        <v>43951</v>
      </c>
      <c r="K77" s="6">
        <v>43965</v>
      </c>
    </row>
    <row r="78" spans="1:11" x14ac:dyDescent="0.25">
      <c r="A78" s="7" t="str">
        <f>IFERROR(IF(ISBLANK(B78),"No Delivery Data",VLOOKUP(B78,Table1[],2,FALSE)), "Not delivered at ZPRV")</f>
        <v>Not delivered at ZPRV</v>
      </c>
      <c r="B78" s="5">
        <v>0</v>
      </c>
      <c r="C78" s="4" t="s">
        <v>291</v>
      </c>
      <c r="D78" s="5" t="s">
        <v>10</v>
      </c>
      <c r="E78" s="5" t="s">
        <v>11</v>
      </c>
      <c r="F78" s="5" t="s">
        <v>209</v>
      </c>
      <c r="G78" s="7">
        <v>846</v>
      </c>
      <c r="H78" s="4">
        <v>846</v>
      </c>
      <c r="I78" s="4">
        <v>114</v>
      </c>
      <c r="J78" s="8">
        <v>43952</v>
      </c>
      <c r="K78" s="6">
        <v>43965</v>
      </c>
    </row>
    <row r="79" spans="1:11" x14ac:dyDescent="0.25">
      <c r="A79" s="7" t="str">
        <f>IFERROR(IF(ISBLANK(B79),"No Delivery Data",VLOOKUP(B79,Table1[],2,FALSE)), "Not delivered at ZPRV")</f>
        <v>Not delivered at ZPRV</v>
      </c>
      <c r="B79" s="5">
        <v>0</v>
      </c>
      <c r="C79" s="4" t="s">
        <v>292</v>
      </c>
      <c r="D79" s="5" t="s">
        <v>10</v>
      </c>
      <c r="E79" s="5" t="s">
        <v>11</v>
      </c>
      <c r="F79" s="5" t="s">
        <v>209</v>
      </c>
      <c r="G79" s="7">
        <v>846</v>
      </c>
      <c r="H79" s="4">
        <v>846</v>
      </c>
      <c r="I79" s="4">
        <v>311</v>
      </c>
      <c r="J79" s="8">
        <v>43945</v>
      </c>
      <c r="K79" s="6">
        <v>43965</v>
      </c>
    </row>
    <row r="80" spans="1:11" x14ac:dyDescent="0.25">
      <c r="A80" s="7" t="str">
        <f>IFERROR(IF(ISBLANK(B80),"No Delivery Data",VLOOKUP(B80,Table1[],2,FALSE)), "Not delivered at ZPRV")</f>
        <v>Not delivered at ZPRV</v>
      </c>
      <c r="B80" s="5">
        <v>0</v>
      </c>
      <c r="C80" s="4" t="s">
        <v>293</v>
      </c>
      <c r="D80" s="5" t="s">
        <v>10</v>
      </c>
      <c r="E80" s="5" t="s">
        <v>11</v>
      </c>
      <c r="F80" s="5" t="s">
        <v>209</v>
      </c>
      <c r="G80" s="7">
        <v>846</v>
      </c>
      <c r="H80" s="4">
        <v>919</v>
      </c>
      <c r="I80" s="4">
        <v>846</v>
      </c>
      <c r="J80" s="8">
        <v>43950</v>
      </c>
      <c r="K80" s="6">
        <v>43964</v>
      </c>
    </row>
    <row r="81" spans="1:11" x14ac:dyDescent="0.25">
      <c r="A81" s="7" t="str">
        <f>IFERROR(IF(ISBLANK(B81),"No Delivery Data",VLOOKUP(B81,Table1[],2,FALSE)), "Not delivered at ZPRV")</f>
        <v>Not delivered at ZPRV</v>
      </c>
      <c r="B81" s="5">
        <v>0</v>
      </c>
      <c r="C81" s="4" t="s">
        <v>294</v>
      </c>
      <c r="D81" s="5" t="s">
        <v>10</v>
      </c>
      <c r="E81" s="5" t="s">
        <v>11</v>
      </c>
      <c r="F81" s="5" t="s">
        <v>209</v>
      </c>
      <c r="G81" s="7">
        <v>846</v>
      </c>
      <c r="H81" s="4">
        <v>846</v>
      </c>
      <c r="I81" s="4">
        <v>846</v>
      </c>
      <c r="J81" s="8">
        <v>43921</v>
      </c>
      <c r="K81" s="6">
        <v>43964</v>
      </c>
    </row>
    <row r="82" spans="1:11" x14ac:dyDescent="0.25">
      <c r="A82" s="7" t="str">
        <f>IFERROR(IF(ISBLANK(B82),"No Delivery Data",VLOOKUP(B82,Table1[],2,FALSE)), "Not delivered at ZPRV")</f>
        <v>Not delivered at ZPRV</v>
      </c>
      <c r="B82" s="5">
        <v>0</v>
      </c>
      <c r="C82" s="4" t="s">
        <v>295</v>
      </c>
      <c r="D82" s="5" t="s">
        <v>10</v>
      </c>
      <c r="E82" s="5" t="s">
        <v>11</v>
      </c>
      <c r="F82" s="5" t="s">
        <v>209</v>
      </c>
      <c r="G82" s="7">
        <v>846</v>
      </c>
      <c r="H82" s="4">
        <v>846</v>
      </c>
      <c r="I82" s="4">
        <v>429</v>
      </c>
      <c r="J82" s="8">
        <v>43945</v>
      </c>
      <c r="K82" s="6">
        <v>43964</v>
      </c>
    </row>
    <row r="83" spans="1:11" x14ac:dyDescent="0.25">
      <c r="A83" s="7" t="str">
        <f>IFERROR(IF(ISBLANK(B83),"No Delivery Data",VLOOKUP(B83,Table1[],2,FALSE)), "Not delivered at ZPRV")</f>
        <v>Not delivered at ZPRV</v>
      </c>
      <c r="B83" s="5">
        <v>0</v>
      </c>
      <c r="C83" s="4" t="s">
        <v>296</v>
      </c>
      <c r="D83" s="5" t="s">
        <v>10</v>
      </c>
      <c r="E83" s="5" t="s">
        <v>11</v>
      </c>
      <c r="F83" s="5" t="s">
        <v>209</v>
      </c>
      <c r="G83" s="7">
        <v>846</v>
      </c>
      <c r="H83" s="4">
        <v>846</v>
      </c>
      <c r="I83" s="4">
        <v>3024</v>
      </c>
      <c r="J83" s="8">
        <v>43948</v>
      </c>
      <c r="K83" s="6">
        <v>43964</v>
      </c>
    </row>
    <row r="84" spans="1:11" x14ac:dyDescent="0.25">
      <c r="A84" s="7" t="str">
        <f>IFERROR(IF(ISBLANK(B84),"No Delivery Data",VLOOKUP(B84,Table1[],2,FALSE)), "Not delivered at ZPRV")</f>
        <v>Not delivered at ZPRV</v>
      </c>
      <c r="B84" s="5">
        <v>0</v>
      </c>
      <c r="C84" s="4" t="s">
        <v>297</v>
      </c>
      <c r="D84" s="5" t="s">
        <v>10</v>
      </c>
      <c r="E84" s="5" t="s">
        <v>11</v>
      </c>
      <c r="F84" s="5" t="s">
        <v>209</v>
      </c>
      <c r="G84" s="7">
        <v>846</v>
      </c>
      <c r="H84" s="4">
        <v>906</v>
      </c>
      <c r="I84" s="4">
        <v>846</v>
      </c>
      <c r="J84" s="8">
        <v>43957</v>
      </c>
      <c r="K84" s="6">
        <v>43964</v>
      </c>
    </row>
    <row r="85" spans="1:11" x14ac:dyDescent="0.25">
      <c r="A85" s="7" t="str">
        <f>IFERROR(IF(ISBLANK(B85),"No Delivery Data",VLOOKUP(B85,Table1[],2,FALSE)), "Not delivered at ZPRV")</f>
        <v>Not delivered at ZPRV</v>
      </c>
      <c r="B85" s="5">
        <v>0</v>
      </c>
      <c r="C85" s="4" t="s">
        <v>298</v>
      </c>
      <c r="D85" s="5" t="s">
        <v>10</v>
      </c>
      <c r="E85" s="5" t="s">
        <v>11</v>
      </c>
      <c r="F85" s="5" t="s">
        <v>209</v>
      </c>
      <c r="G85" s="7">
        <v>846</v>
      </c>
      <c r="H85" s="4">
        <v>468</v>
      </c>
      <c r="I85" s="4">
        <v>3846</v>
      </c>
      <c r="J85" s="8">
        <v>43943</v>
      </c>
      <c r="K85" s="6">
        <v>43963</v>
      </c>
    </row>
    <row r="86" spans="1:11" x14ac:dyDescent="0.25">
      <c r="A86" s="7" t="str">
        <f>IFERROR(IF(ISBLANK(B86),"No Delivery Data",VLOOKUP(B86,Table1[],2,FALSE)), "Not delivered at ZPRV")</f>
        <v>Not delivered at ZPRV</v>
      </c>
      <c r="B86" s="5">
        <v>0</v>
      </c>
      <c r="C86" s="4" t="s">
        <v>299</v>
      </c>
      <c r="D86" s="5" t="s">
        <v>10</v>
      </c>
      <c r="E86" s="5" t="s">
        <v>11</v>
      </c>
      <c r="F86" s="5" t="s">
        <v>209</v>
      </c>
      <c r="G86" s="7">
        <v>846</v>
      </c>
      <c r="H86" s="4">
        <v>468</v>
      </c>
      <c r="I86" s="4">
        <v>3846</v>
      </c>
      <c r="J86" s="8">
        <v>43943</v>
      </c>
      <c r="K86" s="6">
        <v>43963</v>
      </c>
    </row>
    <row r="87" spans="1:11" x14ac:dyDescent="0.25">
      <c r="A87" s="7" t="str">
        <f>IFERROR(IF(ISBLANK(B87),"No Delivery Data",VLOOKUP(B87,Table1[],2,FALSE)), "Not delivered at ZPRV")</f>
        <v>Not delivered at ZPRV</v>
      </c>
      <c r="B87" s="5">
        <v>0</v>
      </c>
      <c r="C87" s="4" t="s">
        <v>300</v>
      </c>
      <c r="D87" s="5" t="s">
        <v>10</v>
      </c>
      <c r="E87" s="5" t="s">
        <v>11</v>
      </c>
      <c r="F87" s="5" t="s">
        <v>209</v>
      </c>
      <c r="G87" s="7">
        <v>846</v>
      </c>
      <c r="H87" s="4">
        <v>468</v>
      </c>
      <c r="I87" s="4">
        <v>3846</v>
      </c>
      <c r="J87" s="8">
        <v>43943</v>
      </c>
      <c r="K87" s="6">
        <v>43963</v>
      </c>
    </row>
    <row r="88" spans="1:11" x14ac:dyDescent="0.25">
      <c r="A88" s="7" t="str">
        <f>IFERROR(IF(ISBLANK(B88),"No Delivery Data",VLOOKUP(B88,Table1[],2,FALSE)), "Not delivered at ZPRV")</f>
        <v>Not delivered at ZPRV</v>
      </c>
      <c r="B88" s="5">
        <v>0</v>
      </c>
      <c r="C88" s="4" t="s">
        <v>301</v>
      </c>
      <c r="D88" s="5" t="s">
        <v>10</v>
      </c>
      <c r="E88" s="5" t="s">
        <v>11</v>
      </c>
      <c r="F88" s="5" t="s">
        <v>209</v>
      </c>
      <c r="G88" s="7">
        <v>846</v>
      </c>
      <c r="H88" s="4">
        <v>400</v>
      </c>
      <c r="I88" s="4">
        <v>846</v>
      </c>
      <c r="J88" s="8">
        <v>43948</v>
      </c>
      <c r="K88" s="6">
        <v>43963</v>
      </c>
    </row>
    <row r="89" spans="1:11" x14ac:dyDescent="0.25">
      <c r="A89" s="7" t="str">
        <f>IFERROR(IF(ISBLANK(B89),"No Delivery Data",VLOOKUP(B89,Table1[],2,FALSE)), "Not delivered at ZPRV")</f>
        <v>Not delivered at ZPRV</v>
      </c>
      <c r="B89" s="5">
        <v>0</v>
      </c>
      <c r="C89" s="4" t="s">
        <v>302</v>
      </c>
      <c r="D89" s="5" t="s">
        <v>10</v>
      </c>
      <c r="E89" s="5" t="s">
        <v>11</v>
      </c>
      <c r="F89" s="5" t="s">
        <v>209</v>
      </c>
      <c r="G89" s="7">
        <v>846</v>
      </c>
      <c r="H89" s="4">
        <v>302</v>
      </c>
      <c r="I89" s="4">
        <v>846</v>
      </c>
      <c r="J89" s="8">
        <v>43943</v>
      </c>
      <c r="K89" s="6">
        <v>43963</v>
      </c>
    </row>
    <row r="90" spans="1:11" x14ac:dyDescent="0.25">
      <c r="A90" s="7" t="str">
        <f>IFERROR(IF(ISBLANK(B90),"No Delivery Data",VLOOKUP(B90,Table1[],2,FALSE)), "Not delivered at ZPRV")</f>
        <v>Not delivered at ZPRV</v>
      </c>
      <c r="B90" s="5">
        <v>0</v>
      </c>
      <c r="C90" s="4" t="s">
        <v>303</v>
      </c>
      <c r="D90" s="5" t="s">
        <v>10</v>
      </c>
      <c r="E90" s="5" t="s">
        <v>11</v>
      </c>
      <c r="F90" s="5" t="s">
        <v>209</v>
      </c>
      <c r="G90" s="7">
        <v>846</v>
      </c>
      <c r="H90" s="4">
        <v>846</v>
      </c>
      <c r="I90" s="4">
        <v>3935</v>
      </c>
      <c r="J90" s="8">
        <v>43945</v>
      </c>
      <c r="K90" s="6">
        <v>43963</v>
      </c>
    </row>
    <row r="91" spans="1:11" x14ac:dyDescent="0.25">
      <c r="A91" s="7" t="str">
        <f>IFERROR(IF(ISBLANK(B91),"No Delivery Data",VLOOKUP(B91,Table1[],2,FALSE)), "Not delivered at ZPRV")</f>
        <v>Not delivered at ZPRV</v>
      </c>
      <c r="B91" s="5">
        <v>0</v>
      </c>
      <c r="C91" s="4" t="s">
        <v>304</v>
      </c>
      <c r="D91" s="5" t="s">
        <v>10</v>
      </c>
      <c r="E91" s="5" t="s">
        <v>11</v>
      </c>
      <c r="F91" s="5" t="s">
        <v>209</v>
      </c>
      <c r="G91" s="7">
        <v>846</v>
      </c>
      <c r="H91" s="4">
        <v>846</v>
      </c>
      <c r="I91" s="4">
        <v>3919</v>
      </c>
      <c r="J91" s="8">
        <v>43931</v>
      </c>
      <c r="K91" s="6">
        <v>43963</v>
      </c>
    </row>
    <row r="92" spans="1:11" x14ac:dyDescent="0.25">
      <c r="A92" s="7" t="str">
        <f>IFERROR(IF(ISBLANK(B92),"No Delivery Data",VLOOKUP(B92,Table1[],2,FALSE)), "Not delivered at ZPRV")</f>
        <v>Not delivered at ZPRV</v>
      </c>
      <c r="B92" s="5">
        <v>0</v>
      </c>
      <c r="C92" s="4" t="s">
        <v>305</v>
      </c>
      <c r="D92" s="5" t="s">
        <v>10</v>
      </c>
      <c r="E92" s="5" t="s">
        <v>11</v>
      </c>
      <c r="F92" s="5" t="s">
        <v>209</v>
      </c>
      <c r="G92" s="7">
        <v>846</v>
      </c>
      <c r="H92" s="4">
        <v>846</v>
      </c>
      <c r="I92" s="4">
        <v>3631</v>
      </c>
      <c r="J92" s="8">
        <v>43938</v>
      </c>
      <c r="K92" s="6">
        <v>43963</v>
      </c>
    </row>
    <row r="93" spans="1:11" x14ac:dyDescent="0.25">
      <c r="A93" s="7" t="str">
        <f>IFERROR(IF(ISBLANK(B93),"No Delivery Data",VLOOKUP(B93,Table1[],2,FALSE)), "Not delivered at ZPRV")</f>
        <v>Not delivered at ZPRV</v>
      </c>
      <c r="B93" s="5">
        <v>0</v>
      </c>
      <c r="C93" s="4" t="s">
        <v>306</v>
      </c>
      <c r="D93" s="5" t="s">
        <v>10</v>
      </c>
      <c r="E93" s="5" t="s">
        <v>11</v>
      </c>
      <c r="F93" s="5" t="s">
        <v>209</v>
      </c>
      <c r="G93" s="7">
        <v>846</v>
      </c>
      <c r="H93" s="4">
        <v>846</v>
      </c>
      <c r="I93" s="4">
        <v>858</v>
      </c>
      <c r="J93" s="8">
        <v>43915</v>
      </c>
      <c r="K93" s="6">
        <v>43963</v>
      </c>
    </row>
    <row r="94" spans="1:11" x14ac:dyDescent="0.25">
      <c r="A94" s="7" t="str">
        <f>IFERROR(IF(ISBLANK(B94),"No Delivery Data",VLOOKUP(B94,Table1[],2,FALSE)), "Not delivered at ZPRV")</f>
        <v>Not delivered at ZPRV</v>
      </c>
      <c r="B94" s="5">
        <v>0</v>
      </c>
      <c r="C94" s="4" t="s">
        <v>307</v>
      </c>
      <c r="D94" s="5" t="s">
        <v>10</v>
      </c>
      <c r="E94" s="5" t="s">
        <v>11</v>
      </c>
      <c r="F94" s="5" t="s">
        <v>209</v>
      </c>
      <c r="G94" s="7">
        <v>846</v>
      </c>
      <c r="H94" s="4">
        <v>846</v>
      </c>
      <c r="I94" s="4">
        <v>846</v>
      </c>
      <c r="J94" s="8">
        <v>43913</v>
      </c>
      <c r="K94" s="6">
        <v>43963</v>
      </c>
    </row>
    <row r="95" spans="1:11" x14ac:dyDescent="0.25">
      <c r="A95" s="7" t="str">
        <f>IFERROR(IF(ISBLANK(B95),"No Delivery Data",VLOOKUP(B95,Table1[],2,FALSE)), "Not delivered at ZPRV")</f>
        <v>Not delivered at ZPRV</v>
      </c>
      <c r="B95" s="5">
        <v>0</v>
      </c>
      <c r="C95" s="4" t="s">
        <v>308</v>
      </c>
      <c r="D95" s="5" t="s">
        <v>10</v>
      </c>
      <c r="E95" s="5" t="s">
        <v>11</v>
      </c>
      <c r="F95" s="5" t="s">
        <v>209</v>
      </c>
      <c r="G95" s="7">
        <v>846</v>
      </c>
      <c r="H95" s="4">
        <v>751</v>
      </c>
      <c r="I95" s="4">
        <v>3846</v>
      </c>
      <c r="J95" s="8">
        <v>43949</v>
      </c>
      <c r="K95" s="6">
        <v>43963</v>
      </c>
    </row>
    <row r="96" spans="1:11" x14ac:dyDescent="0.25">
      <c r="A96" s="7" t="str">
        <f>IFERROR(IF(ISBLANK(B96),"No Delivery Data",VLOOKUP(B96,Table1[],2,FALSE)), "Not delivered at ZPRV")</f>
        <v>Not delivered at ZPRV</v>
      </c>
      <c r="B96" s="5">
        <v>0</v>
      </c>
      <c r="C96" s="4" t="s">
        <v>309</v>
      </c>
      <c r="D96" s="5" t="s">
        <v>10</v>
      </c>
      <c r="E96" s="5" t="s">
        <v>11</v>
      </c>
      <c r="F96" s="5" t="s">
        <v>209</v>
      </c>
      <c r="G96" s="7">
        <v>846</v>
      </c>
      <c r="H96" s="4">
        <v>846</v>
      </c>
      <c r="I96" s="4">
        <v>957</v>
      </c>
      <c r="J96" s="8">
        <v>43956</v>
      </c>
      <c r="K96" s="6">
        <v>43962</v>
      </c>
    </row>
    <row r="97" spans="1:11" x14ac:dyDescent="0.25">
      <c r="A97" s="7" t="str">
        <f>IFERROR(IF(ISBLANK(B97),"No Delivery Data",VLOOKUP(B97,Table1[],2,FALSE)), "Not delivered at ZPRV")</f>
        <v>Not delivered at ZPRV</v>
      </c>
      <c r="B97" s="5">
        <v>0</v>
      </c>
      <c r="C97" s="4" t="s">
        <v>310</v>
      </c>
      <c r="D97" s="5" t="s">
        <v>10</v>
      </c>
      <c r="E97" s="5" t="s">
        <v>11</v>
      </c>
      <c r="F97" s="5" t="s">
        <v>209</v>
      </c>
      <c r="G97" s="7">
        <v>846</v>
      </c>
      <c r="H97" s="4">
        <v>846</v>
      </c>
      <c r="I97" s="4">
        <v>3882</v>
      </c>
      <c r="J97" s="8">
        <v>43938</v>
      </c>
      <c r="K97" s="6">
        <v>43962</v>
      </c>
    </row>
    <row r="98" spans="1:11" x14ac:dyDescent="0.25">
      <c r="A98" s="7" t="str">
        <f>IFERROR(IF(ISBLANK(B98),"No Delivery Data",VLOOKUP(B98,Table1[],2,FALSE)), "Not delivered at ZPRV")</f>
        <v>Not delivered at ZPRV</v>
      </c>
      <c r="B98" s="5">
        <v>0</v>
      </c>
      <c r="C98" s="4" t="s">
        <v>311</v>
      </c>
      <c r="D98" s="5" t="s">
        <v>10</v>
      </c>
      <c r="E98" s="5" t="s">
        <v>11</v>
      </c>
      <c r="F98" s="5" t="s">
        <v>209</v>
      </c>
      <c r="G98" s="7">
        <v>846</v>
      </c>
      <c r="H98" s="4">
        <v>846</v>
      </c>
      <c r="I98" s="4">
        <v>362</v>
      </c>
      <c r="J98" s="8">
        <v>43951</v>
      </c>
      <c r="K98" s="6">
        <v>43962</v>
      </c>
    </row>
    <row r="99" spans="1:11" x14ac:dyDescent="0.25">
      <c r="A99" s="7" t="str">
        <f>IFERROR(IF(ISBLANK(B99),"No Delivery Data",VLOOKUP(B99,Table1[],2,FALSE)), "Not delivered at ZPRV")</f>
        <v>Not delivered at ZPRV</v>
      </c>
      <c r="B99" s="5">
        <v>0</v>
      </c>
      <c r="C99" s="4" t="s">
        <v>312</v>
      </c>
      <c r="D99" s="5" t="s">
        <v>10</v>
      </c>
      <c r="E99" s="5" t="s">
        <v>11</v>
      </c>
      <c r="F99" s="5" t="s">
        <v>209</v>
      </c>
      <c r="G99" s="7">
        <v>846</v>
      </c>
      <c r="H99" s="4">
        <v>750</v>
      </c>
      <c r="I99" s="4">
        <v>846</v>
      </c>
      <c r="J99" s="8">
        <v>43949</v>
      </c>
      <c r="K99" s="6">
        <v>43962</v>
      </c>
    </row>
    <row r="100" spans="1:11" x14ac:dyDescent="0.25">
      <c r="A100" s="7" t="str">
        <f>IFERROR(IF(ISBLANK(B100),"No Delivery Data",VLOOKUP(B100,Table1[],2,FALSE)), "Not delivered at ZPRV")</f>
        <v>Not delivered at ZPRV</v>
      </c>
      <c r="B100" s="5">
        <v>0</v>
      </c>
      <c r="C100" s="4" t="s">
        <v>313</v>
      </c>
      <c r="D100" s="5" t="s">
        <v>10</v>
      </c>
      <c r="E100" s="5" t="s">
        <v>11</v>
      </c>
      <c r="F100" s="5" t="s">
        <v>209</v>
      </c>
      <c r="G100" s="7">
        <v>846</v>
      </c>
      <c r="H100" s="4">
        <v>915</v>
      </c>
      <c r="I100" s="4">
        <v>3846</v>
      </c>
      <c r="J100" s="8">
        <v>43948</v>
      </c>
      <c r="K100" s="6">
        <v>43962</v>
      </c>
    </row>
    <row r="101" spans="1:11" x14ac:dyDescent="0.25">
      <c r="A101" s="7" t="str">
        <f>IFERROR(IF(ISBLANK(B101),"No Delivery Data",VLOOKUP(B101,Table1[],2,FALSE)), "Not delivered at ZPRV")</f>
        <v>Not delivered at ZPRV</v>
      </c>
      <c r="B101" s="5">
        <v>0</v>
      </c>
      <c r="C101" s="4" t="s">
        <v>314</v>
      </c>
      <c r="D101" s="5" t="s">
        <v>10</v>
      </c>
      <c r="E101" s="5" t="s">
        <v>11</v>
      </c>
      <c r="F101" s="5" t="s">
        <v>209</v>
      </c>
      <c r="G101" s="7">
        <v>846</v>
      </c>
      <c r="H101" s="4">
        <v>846</v>
      </c>
      <c r="I101" s="4">
        <v>551</v>
      </c>
      <c r="J101" s="8">
        <v>43942</v>
      </c>
      <c r="K101" s="6">
        <v>43962</v>
      </c>
    </row>
    <row r="102" spans="1:11" x14ac:dyDescent="0.25">
      <c r="A102" s="7" t="str">
        <f>IFERROR(IF(ISBLANK(B102),"No Delivery Data",VLOOKUP(B102,Table1[],2,FALSE)), "Not delivered at ZPRV")</f>
        <v>No Delivery Data</v>
      </c>
      <c r="C102" s="4" t="s">
        <v>315</v>
      </c>
      <c r="D102" s="5" t="s">
        <v>10</v>
      </c>
      <c r="E102" s="5" t="s">
        <v>11</v>
      </c>
      <c r="F102" s="5" t="s">
        <v>209</v>
      </c>
      <c r="G102" s="7">
        <v>846</v>
      </c>
      <c r="H102" s="4">
        <v>846</v>
      </c>
      <c r="I102" s="4">
        <v>3909</v>
      </c>
      <c r="J102" s="8">
        <v>43934</v>
      </c>
      <c r="K102" s="6">
        <v>43962</v>
      </c>
    </row>
  </sheetData>
  <conditionalFormatting sqref="C1:C1048576">
    <cfRule type="duplicateValues" dxfId="1" priority="4"/>
  </conditionalFormatting>
  <conditionalFormatting sqref="H1:I1048576">
    <cfRule type="containsText" dxfId="0" priority="3" operator="containsText" text="846">
      <formula>NOT(ISERROR(SEARCH("846",H1)))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mageCSANums">
                <anchor moveWithCells="1" sizeWithCells="1">
                  <from>
                    <xdr:col>0</xdr:col>
                    <xdr:colOff>742950</xdr:colOff>
                    <xdr:row>0</xdr:row>
                    <xdr:rowOff>76200</xdr:rowOff>
                  </from>
                  <to>
                    <xdr:col>1</xdr:col>
                    <xdr:colOff>666750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F55AD0C2D36445A26962CAE2827CB6" ma:contentTypeVersion="2" ma:contentTypeDescription="Create a new document." ma:contentTypeScope="" ma:versionID="cfd253b3591bc4138bb237a9d72f16ba">
  <xsd:schema xmlns:xsd="http://www.w3.org/2001/XMLSchema" xmlns:xs="http://www.w3.org/2001/XMLSchema" xmlns:p="http://schemas.microsoft.com/office/2006/metadata/properties" xmlns:ns3="a0b89b19-eb77-47f6-b622-72fd5f692c90" targetNamespace="http://schemas.microsoft.com/office/2006/metadata/properties" ma:root="true" ma:fieldsID="7040b0d125235c3afc9a3b59970b5aaf" ns3:_="">
    <xsd:import namespace="a0b89b19-eb77-47f6-b622-72fd5f692c9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b89b19-eb77-47f6-b622-72fd5f692c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2EEC16D-E69A-4B4A-BFD4-886E903115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7E59E75-C252-456E-9408-6F99B4EF95D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D7B6B78-87FC-41EC-9D0A-9B6EF34838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b89b19-eb77-47f6-b622-72fd5f692c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740A7AC-DB03-4548-BC94-8920A8388DDA}">
  <ds:schemaRefs>
    <ds:schemaRef ds:uri="http://schemas.microsoft.com/office/2006/documentManagement/types"/>
    <ds:schemaRef ds:uri="http://purl.org/dc/elements/1.1/"/>
    <ds:schemaRef ds:uri="http://purl.org/dc/dcmitype/"/>
    <ds:schemaRef ds:uri="http://www.w3.org/XML/1998/namespace"/>
    <ds:schemaRef ds:uri="http://purl.org/dc/terms/"/>
    <ds:schemaRef ds:uri="http://schemas.microsoft.com/office/2006/metadata/properties"/>
    <ds:schemaRef ds:uri="a0b89b19-eb77-47f6-b622-72fd5f692c90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RollSheet</vt:lpstr>
      <vt:lpstr>Summary</vt:lpstr>
      <vt:lpstr>CSAs</vt:lpstr>
      <vt:lpstr>Loss Claims</vt:lpstr>
      <vt:lpstr>Damage Claims</vt:lpstr>
      <vt:lpstr>CSANums</vt:lpstr>
      <vt:lpstr>LossMinimizeColumns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Michael Heidt Fialho</dc:creator>
  <cp:lastModifiedBy>fialho</cp:lastModifiedBy>
  <cp:lastPrinted>2020-06-10T18:04:26Z</cp:lastPrinted>
  <dcterms:created xsi:type="dcterms:W3CDTF">2020-01-24T22:14:57Z</dcterms:created>
  <dcterms:modified xsi:type="dcterms:W3CDTF">2022-05-15T02:37:26Z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0x010100BBF55AD0C2D36445A26962CAE2827CB6</vt:lpwstr>
  </property>
</Properties>
</file>